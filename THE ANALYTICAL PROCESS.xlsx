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4.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pivotTables/pivotTable5.xml" ContentType="application/vnd.openxmlformats-officedocument.spreadsheetml.pivotTable+xml"/>
  <Override PartName="/xl/drawings/drawing9.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drawings/drawing10.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1.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USER\Desktop\PROJECT CORRECTION\"/>
    </mc:Choice>
  </mc:AlternateContent>
  <xr:revisionPtr revIDLastSave="0" documentId="13_ncr:1_{40CD78DD-EBD3-4635-AF41-F0E46140CB23}" xr6:coauthVersionLast="47" xr6:coauthVersionMax="47" xr10:uidLastSave="{00000000-0000-0000-0000-000000000000}"/>
  <bookViews>
    <workbookView xWindow="-108" yWindow="-108" windowWidth="23256" windowHeight="12456" firstSheet="13" activeTab="15" xr2:uid="{00000000-000D-0000-FFFF-FFFF00000000}"/>
  </bookViews>
  <sheets>
    <sheet name="STATE PERFORMANCE" sheetId="29" r:id="rId1"/>
    <sheet name="TOP 6 SHIP CITIES BY REVENUE" sheetId="27" r:id="rId2"/>
    <sheet name="Task" sheetId="15" r:id="rId3"/>
    <sheet name="SALES TREND REPORT" sheetId="19" r:id="rId4"/>
    <sheet name="In-Analysis Board" sheetId="20" r:id="rId5"/>
    <sheet name="DASHBOARD SKETCH" sheetId="31" r:id="rId6"/>
    <sheet name="TOP 5 CITIES" sheetId="26" r:id="rId7"/>
    <sheet name="Data (2)" sheetId="17" r:id="rId8"/>
    <sheet name="Pivot Table Diagram" sheetId="4" r:id="rId9"/>
    <sheet name="PRE-ANALYSIS BOARD" sheetId="18" r:id="rId10"/>
    <sheet name="TOP 10 CUSTOMERS" sheetId="21" r:id="rId11"/>
    <sheet name="SALES BY REP" sheetId="23" r:id="rId12"/>
    <sheet name="SALES BY REGION " sheetId="24" r:id="rId13"/>
    <sheet name="SALES BY PRODUCT CATEGORY" sheetId="25" r:id="rId14"/>
    <sheet name="TRANSACTION BY AMOUNT" sheetId="30" r:id="rId15"/>
    <sheet name="DASHBOARD INTERFACE" sheetId="32" r:id="rId16"/>
    <sheet name="Post-Analysis Board" sheetId="33" r:id="rId17"/>
  </sheets>
  <definedNames>
    <definedName name="_xlnm._FilterDatabase" localSheetId="7" hidden="1">'Data (2)'!$A$1:$Z$370</definedName>
    <definedName name="_xlchart.v1.11" hidden="1">'TOP 6 SHIP CITIES BY REVENUE'!$D$4:$D$9</definedName>
    <definedName name="_xlchart.v1.12" hidden="1">'TOP 6 SHIP CITIES BY REVENUE'!$E$3</definedName>
    <definedName name="_xlchart.v1.13" hidden="1">'TOP 6 SHIP CITIES BY REVENUE'!$E$4:$E$9</definedName>
    <definedName name="_xlchart.v1.4" hidden="1">'TOP 6 SHIP CITIES BY REVENUE'!$D$4:$D$9</definedName>
    <definedName name="_xlchart.v1.5" hidden="1">'TOP 6 SHIP CITIES BY REVENUE'!$E$3</definedName>
    <definedName name="_xlchart.v1.6" hidden="1">'TOP 6 SHIP CITIES BY REVENUE'!$E$4:$E$9</definedName>
    <definedName name="_xlchart.v5.0" hidden="1">'STATE PERFORMANCE'!$A$22</definedName>
    <definedName name="_xlchart.v5.1" hidden="1">'STATE PERFORMANCE'!$A$23:$A$34</definedName>
    <definedName name="_xlchart.v5.10" hidden="1">'STATE PERFORMANCE'!$B$23:$B$34</definedName>
    <definedName name="_xlchart.v5.2" hidden="1">'STATE PERFORMANCE'!$B$22</definedName>
    <definedName name="_xlchart.v5.3" hidden="1">'STATE PERFORMANCE'!$B$23:$B$34</definedName>
    <definedName name="_xlchart.v5.7" hidden="1">'STATE PERFORMANCE'!$A$22</definedName>
    <definedName name="_xlchart.v5.8" hidden="1">'STATE PERFORMANCE'!$A$23:$A$34</definedName>
    <definedName name="_xlchart.v5.9" hidden="1">'STATE PERFORMANCE'!$B$22</definedName>
    <definedName name="Slicer_Product_Name">#N/A</definedName>
    <definedName name="Slicer_Salesperson">#N/A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<sst xmlns="http://schemas.openxmlformats.org/spreadsheetml/2006/main" count="5922" uniqueCount="195">
  <si>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</si>
  <si>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</si>
  <si>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</si>
  <si>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</si>
  <si>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</si>
  <si>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</si>
  <si>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</si>
  <si>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</si>
  <si>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</si>
  <si>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</si>
  <si>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</si>
  <si>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</si>
  <si>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</si>
  <si>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</si>
  <si>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</si>
  <si>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</si>
  <si>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</si>
  <si>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</si>
  <si>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</si>
  <si>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</si>
  <si>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</si>
  <si>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</si>
  <si>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</si>
  <si>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</si>
  <si>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</si>
  <si>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</si>
  <si>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</si>
  <si>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</si>
  <si>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</si>
  <si>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</si>
  <si>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</si>
  <si>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</si>
  <si>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</si>
  <si>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</si>
  <si>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</si>
  <si>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</si>
  <si>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</si>
  <si>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</si>
  <si>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</si>
  <si>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</si>
  <si>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</si>
  <si>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</si>
  <si>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</si>
  <si>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</si>
  <si>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</si>
  <si>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</si>
  <si>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</si>
  <si>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</si>
  <si>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</si>
  <si>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</si>
  <si>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</si>
  <si>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</si>
  <si>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</si>
  <si>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</si>
  <si>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</si>
  <si>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</si>
  <si>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</si>
  <si>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</si>
  <si>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</si>
  <si>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</si>
  <si>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</si>
  <si>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</si>
  <si>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</si>
  <si>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</si>
  <si>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</si>
  <si>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</si>
  <si>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</si>
  <si>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</si>
  <si>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</si>
  <si>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</si>
  <si>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</si>
  <si>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</si>
  <si>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</si>
  <si>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</si>
  <si>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</si>
  <si>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</si>
  <si>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</si>
  <si>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</si>
  <si>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</si>
  <si>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</si>
  <si>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</si>
  <si>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</si>
  <si>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</si>
  <si>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</si>
  <si>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</si>
  <si>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</si>
  <si>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</si>
  <si>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</si>
  <si>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</si>
  <si>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</si>
  <si>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</si>
  <si>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</si>
  <si>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</si>
  <si>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</si>
  <si>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</si>
  <si>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</si>
  <si>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</si>
  <si>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</si>
  <si>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</si>
  <si>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</si>
  <si>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</si>
  <si>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</si>
  <si>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</si>
  <si>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</si>
  <si>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</si>
  <si>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</si>
  <si>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</si>
  <si>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</si>
  <si>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</si>
  <si>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</si>
  <si>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</si>
  <si>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</si>
  <si>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</si>
  <si>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</si>
  <si>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</si>
  <si>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</si>
  <si>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</si>
  <si>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</si>
  <si>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</si>
  <si>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</si>
  <si>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</si>
  <si>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</si>
  <si>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</si>
  <si>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</si>
  <si>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</si>
  <si>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</si>
  <si>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</si>
  <si>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</si>
  <si>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</si>
  <si>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</si>
  <si>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</si>
  <si>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</si>
  <si>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</si>
  <si>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</si>
  <si>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</si>
  <si>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</si>
  <si>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</si>
  <si>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</si>
  <si>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</si>
  <si>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</si>
  <si>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</si>
  <si>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</si>
  <si>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</si>
  <si>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</si>
  <si>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</si>
  <si>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</si>
  <si>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</si>
  <si>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</si>
  <si>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</si>
  <si>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</si>
  <si>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</si>
  <si>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</si>
  <si>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</si>
  <si>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</si>
  <si>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</si>
  <si>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</si>
  <si>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</si>
  <si>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</si>
  <si>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</si>
  <si>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</si>
  <si>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</si>
  <si>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</si>
  <si>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</si>
  <si>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</si>
  <si>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</si>
  <si>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</si>
  <si>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</si>
  <si>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 xml:space="preserve">h </t>
  </si>
  <si>
    <t>Row Labels</t>
  </si>
  <si>
    <t>Grand Total</t>
  </si>
  <si>
    <t>Jan</t>
  </si>
  <si>
    <t>Feb</t>
  </si>
  <si>
    <t>Mar</t>
  </si>
  <si>
    <t>Apr</t>
  </si>
  <si>
    <t>May</t>
  </si>
  <si>
    <t>Jun</t>
  </si>
  <si>
    <t>Jul</t>
  </si>
  <si>
    <t>Aug</t>
  </si>
  <si>
    <t>Sep</t>
  </si>
  <si>
    <t>Oct</t>
  </si>
  <si>
    <t>Nov</t>
  </si>
  <si>
    <t>Dec</t>
  </si>
  <si>
    <t>Sum of Revenue</t>
  </si>
  <si>
    <t>[</t>
  </si>
  <si>
    <t>State Performance</t>
  </si>
  <si>
    <t>Cities</t>
  </si>
  <si>
    <t>0-1000</t>
  </si>
  <si>
    <t>1000-2000</t>
  </si>
  <si>
    <t>2000-3000</t>
  </si>
  <si>
    <t>3000-4000</t>
  </si>
  <si>
    <t>4000-5000</t>
  </si>
  <si>
    <t>6000-7000</t>
  </si>
  <si>
    <t>7000-8000</t>
  </si>
  <si>
    <t>Count of Revenue</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</si>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</sst>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6">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2" fillId="5" borderId="2" xfId="0" applyFont="1" applyFill="1" applyBorder="1"/>
    <xf numFmtId="0" fontId="5" fillId="4" borderId="3" xfId="0" applyFont="1" applyFill="1" applyBorder="1"/>
    <xf numFmtId="165" fontId="0" fillId="0" borderId="0" xfId="0" applyNumberFormat="1" applyAlignment="1">
      <alignment horizontal="left"/>
    </xf>
  </cellXfs>
  <cellStyles count="3">
    <cellStyle name="Currency" xfId="1" builtinId="4"/>
    <cellStyle name="Hyperlink" xfId="2" builtinId="8"/>
    <cellStyle name="Normal" xfId="0" builtinId="0"/>
  </cellStyles>
  <dxfs count="76">
    <dxf>
      <font>
        <b/>
        <color theme="1"/>
      </font>
      <border>
        <bottom style="thin">
          <color theme="0" tint="-0.3499862666707357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patternType="solid">
          <fgColor theme="0" tint="-0.24994659260841701"/>
          <bgColor theme="0" tint="-0.34998626667073579"/>
        </patternFill>
      </fill>
      <border diagonalUp="0" diagonalDown="0">
        <left/>
        <right/>
        <top/>
        <bottom/>
        <vertical/>
        <horizontal/>
      </border>
    </dxf>
    <dxf>
      <font>
        <b/>
        <color theme="1"/>
      </font>
      <border>
        <bottom style="thin">
          <color theme="9"/>
        </bottom>
        <vertical/>
        <horizontal/>
      </border>
    </dxf>
    <dxf>
      <font>
        <color theme="1"/>
      </font>
      <fill>
        <patternFill patternType="solid">
          <fgColor theme="0" tint="-0.24994659260841701"/>
          <bgColor theme="0" tint="-0.34998626667073579"/>
        </patternFill>
      </fill>
      <border diagonalUp="0" diagonalDown="0">
        <left/>
        <right/>
        <top/>
        <bottom/>
        <vertical/>
        <horizontal/>
      </border>
    </dxf>
    <dxf>
      <font>
        <b/>
        <color theme="1"/>
      </font>
      <border>
        <bottom style="thin">
          <color theme="9"/>
        </bottom>
        <vertical/>
        <horizontal/>
      </border>
    </dxf>
    <dxf>
      <font>
        <color theme="1"/>
      </font>
      <fill>
        <patternFill patternType="solid">
          <fgColor rgb="FF45F155"/>
          <bgColor theme="0" tint="-0.1499679555650502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patternType="solid">
          <fgColor theme="0" tint="-0.24994659260841701"/>
          <bgColor theme="0" tint="-0.34998626667073579"/>
        </patternFill>
      </fill>
      <border diagonalUp="0" diagonalDown="0">
        <left/>
        <right/>
        <top/>
        <bottom/>
        <vertical/>
        <horizontal/>
      </border>
    </dxf>
    <dxf>
      <font>
        <b/>
        <color theme="1"/>
      </font>
      <border>
        <bottom style="thin">
          <color theme="9"/>
        </bottom>
        <vertical/>
        <horizontal/>
      </border>
    </dxf>
    <dxf>
      <font>
        <color theme="1"/>
      </font>
      <fill>
        <patternFill>
          <fgColor rgb="FF45F155"/>
          <bgColor rgb="FF63E782"/>
        </patternFill>
      </fill>
      <border diagonalUp="0" diagonalDown="0">
        <left/>
        <right/>
        <top/>
        <bottom/>
        <vertical/>
        <horizontal/>
      </border>
    </dxf>
    <dxf>
      <font>
        <b/>
        <color theme="1"/>
      </font>
      <border>
        <bottom style="thin">
          <color theme="9"/>
        </bottom>
        <vertical/>
        <horizontal/>
      </border>
    </dxf>
    <dxf>
      <font>
        <color theme="1"/>
      </font>
      <fill>
        <patternFill>
          <fgColor rgb="FF1EC622"/>
          <bgColor rgb="FF00B05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name val="Calibri"/>
        <family val="2"/>
        <scheme val="minor"/>
      </font>
      <fill>
        <patternFill>
          <fgColor rgb="FF3F953D"/>
        </patternFill>
      </fill>
      <border diagonalUp="0" diagonalDown="0">
        <left/>
        <right/>
        <top/>
        <bottom/>
        <vertical/>
        <horizontal/>
      </border>
    </dxf>
    <dxf>
      <font>
        <b/>
        <color theme="1"/>
      </font>
      <border>
        <bottom style="thin">
          <color theme="9"/>
        </bottom>
        <vertical/>
        <horizontal/>
      </border>
    </dxf>
    <dxf>
      <font>
        <color rgb="FF1EC622"/>
        <name val="Calibri"/>
        <family val="2"/>
        <scheme val="minor"/>
      </font>
      <fill>
        <patternFill patternType="solid">
          <fgColor rgb="FF00B050"/>
          <bgColor rgb="FF00B050"/>
        </patternFill>
      </fill>
      <border diagonalUp="0" diagonalDown="0">
        <left/>
        <right/>
        <top/>
        <bottom/>
        <vertical/>
        <horizontal/>
      </border>
    </dxf>
    <dxf>
      <font>
        <b/>
        <color theme="1"/>
      </font>
      <border>
        <bottom style="thin">
          <color theme="9"/>
        </bottom>
        <vertical/>
        <horizontal/>
      </border>
    </dxf>
    <dxf>
      <font>
        <color theme="1"/>
      </font>
      <fill>
        <patternFill>
          <fgColor rgb="FF176F41"/>
          <bgColor rgb="FF176F4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rgb="FF6FEE6C"/>
        <name val="Calibri"/>
        <family val="2"/>
        <scheme val="minor"/>
      </font>
      <fill>
        <patternFill>
          <fgColor rgb="FF1EC622"/>
        </patternFill>
      </fill>
      <border diagonalUp="0" diagonalDown="0">
        <left/>
        <right/>
        <top/>
        <bottom/>
        <vertical/>
        <horizontal/>
      </border>
    </dxf>
    <dxf>
      <font>
        <b/>
        <color theme="1"/>
      </font>
      <border>
        <bottom style="thin">
          <color theme="9"/>
        </bottom>
        <vertical/>
        <horizontal/>
      </border>
    </dxf>
    <dxf>
      <font>
        <color theme="1"/>
      </font>
      <fill>
        <patternFill>
          <fgColor rgb="FF176F41"/>
          <bgColor rgb="FF176F4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name val="Calibri"/>
        <family val="2"/>
        <scheme val="minor"/>
      </font>
      <fill>
        <patternFill patternType="solid">
          <fgColor rgb="FF176F41"/>
        </patternFill>
      </fill>
      <border diagonalUp="0" diagonalDown="0">
        <left/>
        <right/>
        <top/>
        <bottom/>
        <vertical/>
        <horizontal/>
      </border>
    </dxf>
    <dxf>
      <font>
        <b/>
        <color theme="1"/>
      </font>
      <border>
        <bottom style="thin">
          <color theme="9"/>
        </bottom>
        <vertical/>
        <horizontal/>
      </border>
    </dxf>
    <dxf>
      <font>
        <color theme="1"/>
      </font>
      <fill>
        <patternFill patternType="solid">
          <fgColor rgb="FF176F41"/>
          <bgColor rgb="FF176F41"/>
        </patternFill>
      </fill>
      <border diagonalUp="0" diagonalDown="0">
        <left/>
        <right/>
        <top/>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1"/>
        <color theme="1"/>
        <name val="Calibri"/>
        <family val="2"/>
        <scheme val="minor"/>
      </font>
      <fill>
        <patternFill patternType="solid">
          <fgColor rgb="FF1F9B15"/>
          <bgColor rgb="FF00B050"/>
        </patternFill>
      </fill>
      <border diagonalUp="0" diagonalDown="0">
        <left/>
        <right/>
        <top/>
        <bottom/>
        <vertical/>
        <horizontal/>
      </border>
    </dxf>
    <dxf>
      <font>
        <b/>
        <color theme="1"/>
      </font>
      <border>
        <bottom style="thin">
          <color theme="9"/>
        </bottom>
        <vertical/>
        <horizontal/>
      </border>
    </dxf>
    <dxf>
      <font>
        <sz val="11"/>
        <color rgb="FF1F9B15"/>
        <name val="Calibri"/>
        <family val="2"/>
        <scheme val="minor"/>
      </font>
      <border diagonalUp="0" diagonalDown="0">
        <left/>
        <right/>
        <top/>
        <bottom/>
        <vertical/>
        <horizontal/>
      </border>
    </dxf>
    <dxf>
      <font>
        <b/>
        <color theme="1"/>
      </font>
      <border>
        <bottom style="thin">
          <color theme="9"/>
        </bottom>
        <vertical/>
        <horizontal/>
      </border>
    </dxf>
    <dxf>
      <font>
        <color theme="1"/>
      </font>
      <fill>
        <patternFill>
          <fgColor rgb="FF0F8712"/>
          <bgColor rgb="FF00B050"/>
        </patternFill>
      </fill>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fill>
        <patternFill>
          <bgColor rgb="FF0F8712"/>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ill>
        <patternFill>
          <fgColor rgb="FF1EC622"/>
        </patternFill>
      </fill>
    </dxf>
    <dxf>
      <fill>
        <patternFill>
          <fgColor rgb="FF00B050"/>
          <bgColor rgb="FF54F66F"/>
        </patternFill>
      </fill>
    </dxf>
    <dxf>
      <font>
        <color rgb="FF48EA6B"/>
      </font>
      <border diagonalUp="0" diagonalDown="0">
        <left/>
        <right/>
        <top/>
        <bottom/>
        <vertical/>
        <horizontal/>
      </border>
    </dxf>
    <dxf>
      <font>
        <color theme="0"/>
      </font>
    </dxf>
    <dxf>
      <font>
        <color theme="0"/>
      </font>
    </dxf>
    <dxf>
      <font>
        <color theme="0"/>
      </font>
    </dxf>
    <dxf>
      <fill>
        <patternFill>
          <bgColor rgb="FF176F41"/>
        </patternFill>
      </fill>
    </dxf>
    <dxf>
      <fill>
        <patternFill>
          <fgColor rgb="FF176F41"/>
          <bgColor rgb="FF176F41"/>
        </patternFill>
      </fill>
    </dxf>
    <dxf>
      <fill>
        <patternFill>
          <bgColor rgb="FF176F41"/>
        </patternFill>
      </fill>
    </dxf>
    <dxf>
      <fill>
        <patternFill>
          <fgColor rgb="FF176F41"/>
          <bgColor rgb="FF176F41"/>
        </patternFill>
      </fill>
      <border diagonalUp="0" diagonalDown="0">
        <left/>
        <right/>
        <top/>
        <bottom/>
        <vertical/>
        <horizontal/>
      </border>
    </dxf>
    <dxf>
      <fill>
        <patternFill>
          <fgColor rgb="FF176F41"/>
        </patternFill>
      </fill>
      <border diagonalUp="0" diagonalDown="0">
        <left/>
        <right/>
        <top/>
        <bottom/>
        <vertical/>
        <horizontal/>
      </border>
    </dxf>
    <dxf>
      <fill>
        <patternFill>
          <fgColor rgb="FF176F41"/>
        </patternFill>
      </fill>
      <border diagonalUp="0" diagonalDown="0">
        <left/>
        <right/>
        <top/>
        <bottom/>
        <vertical/>
        <horizontal/>
      </border>
    </dxf>
    <dxf>
      <border diagonalUp="0" diagonalDown="0">
        <left/>
        <right/>
        <top/>
        <bottom/>
        <vertical/>
        <horizontal/>
      </border>
    </dxf>
    <dxf>
      <fill>
        <patternFill>
          <fgColor rgb="FF1EC622"/>
          <bgColor rgb="FF00B050"/>
        </patternFill>
      </fill>
    </dxf>
    <dxf>
      <fill>
        <patternFill>
          <fgColor rgb="FF1EC622"/>
        </patternFill>
      </fill>
    </dxf>
    <dxf>
      <fill>
        <patternFill>
          <fgColor rgb="FF45F155"/>
          <bgColor rgb="FF5DB76A"/>
        </patternFill>
      </fill>
    </dxf>
    <dxf>
      <fill>
        <patternFill>
          <fgColor rgb="FF45F155"/>
          <bgColor rgb="FF07EF81"/>
        </patternFill>
      </fill>
    </dxf>
    <dxf>
      <font>
        <name val="Calibri"/>
        <family val="2"/>
        <scheme val="minor"/>
      </font>
      <fill>
        <patternFill>
          <bgColor theme="9" tint="0.39994506668294322"/>
        </patternFill>
      </fill>
      <border diagonalUp="0" diagonalDown="0">
        <left/>
        <right/>
        <top/>
        <bottom/>
        <vertical/>
        <horizontal/>
      </border>
    </dxf>
    <dxf>
      <fill>
        <patternFill>
          <fgColor rgb="FF1EC622"/>
          <bgColor rgb="FF00B050"/>
        </patternFill>
      </fill>
    </dxf>
    <dxf>
      <fill>
        <patternFill>
          <fgColor rgb="FF3F953D"/>
          <bgColor rgb="FF00B050"/>
        </patternFill>
      </fill>
    </dxf>
    <dxf>
      <fill>
        <patternFill>
          <fgColor rgb="FF73FD87"/>
          <bgColor rgb="FF00B050"/>
        </patternFill>
      </fill>
    </dxf>
    <dxf>
      <fill>
        <patternFill>
          <fgColor theme="0"/>
        </patternFill>
      </fill>
    </dxf>
    <dxf>
      <fill>
        <patternFill>
          <fgColor rgb="FF6FEE6C"/>
          <bgColor rgb="FF00B050"/>
        </patternFill>
      </fill>
    </dxf>
    <dxf>
      <font>
        <color rgb="FF3F953D"/>
      </font>
      <border diagonalUp="0" diagonalDown="0">
        <left/>
        <right/>
        <top/>
        <bottom/>
        <vertical/>
        <horizontal/>
      </border>
    </dxf>
    <dxf>
      <fill>
        <patternFill>
          <fgColor rgb="FF1EC622"/>
          <bgColor rgb="FF00B050"/>
        </patternFill>
      </fill>
    </dxf>
    <dxf>
      <fill>
        <patternFill>
          <fgColor rgb="FF1EC622"/>
        </patternFill>
      </fill>
      <border diagonalUp="0" diagonalDown="0">
        <left/>
        <right/>
        <top/>
        <bottom/>
        <vertical/>
        <horizontal/>
      </border>
    </dxf>
    <dxf>
      <font>
        <color rgb="FF1EC622"/>
      </font>
      <fill>
        <patternFill patternType="solid">
          <fgColor rgb="FF1EC622"/>
          <bgColor rgb="FF00B050"/>
        </patternFill>
      </fill>
      <border diagonalUp="0" diagonalDown="0">
        <left/>
        <right/>
        <top/>
        <bottom/>
        <vertical/>
        <horizontal/>
      </border>
    </dxf>
    <dxf>
      <fill>
        <patternFill>
          <fgColor rgb="FF1EC622"/>
          <bgColor rgb="FF73FD87"/>
        </patternFill>
      </fill>
    </dxf>
    <dxf>
      <fill>
        <patternFill patternType="solid">
          <fgColor rgb="FF1EC622"/>
          <bgColor rgb="FF00B050"/>
        </patternFill>
      </fill>
    </dxf>
    <dxf>
      <fill>
        <patternFill patternType="solid">
          <fgColor rgb="FF1EC622"/>
          <bgColor rgb="FF00B050"/>
        </patternFill>
      </fill>
    </dxf>
  </dxfs>
  <tableStyles count="70" defaultTableStyle="TableStyleMedium2" defaultPivotStyle="PivotStyleLight16">
    <tableStyle name="Slicer Style 1" pivot="0" table="0" count="1" xr9:uid="{765E1435-6829-45B3-A9F2-A472D6B40727}">
      <tableStyleElement type="wholeTable" dxfId="75"/>
    </tableStyle>
    <tableStyle name="Slicer Style 10" pivot="0" table="0" count="1" xr9:uid="{5F1886FF-AE49-4765-842F-F3F0D8F7682C}">
      <tableStyleElement type="wholeTable" dxfId="74"/>
    </tableStyle>
    <tableStyle name="Slicer Style 11" pivot="0" table="0" count="1" xr9:uid="{9FB29F3F-3060-45F6-B54F-A1A87536BCBB}">
      <tableStyleElement type="wholeTable" dxfId="73"/>
    </tableStyle>
    <tableStyle name="Slicer Style 12" pivot="0" table="0" count="1" xr9:uid="{E7FBA0E7-B7CA-4C26-9FB0-BCD7983F1FB6}">
      <tableStyleElement type="wholeTable" dxfId="72"/>
    </tableStyle>
    <tableStyle name="Slicer Style 13" pivot="0" table="0" count="1" xr9:uid="{1AD11E13-6DF4-49CF-AFED-D23965215B2D}">
      <tableStyleElement type="wholeTable" dxfId="71"/>
    </tableStyle>
    <tableStyle name="Slicer Style 14" pivot="0" table="0" count="1" xr9:uid="{EF03582D-8697-4825-BA27-B1DD75906516}"/>
    <tableStyle name="Slicer Style 15" pivot="0" table="0" count="1" xr9:uid="{BEBC674A-ED1E-47F2-86E0-6B99F8F986C8}"/>
    <tableStyle name="Slicer Style 16" pivot="0" table="0" count="2" xr9:uid="{398210A6-1333-4700-95B1-1C61AE47563F}">
      <tableStyleElement type="headerRow" dxfId="70"/>
    </tableStyle>
    <tableStyle name="Slicer Style 17" pivot="0" table="0" count="0" xr9:uid="{E49CBFD4-2384-4A2B-8266-256437F30EDA}"/>
    <tableStyle name="Slicer Style 18" pivot="0" table="0" count="2" xr9:uid="{FD6E02F0-424B-4EBA-A554-F441E5D495CB}">
      <tableStyleElement type="wholeTable" dxfId="69"/>
    </tableStyle>
    <tableStyle name="Slicer Style 19" pivot="0" table="0" count="1" xr9:uid="{35635B75-DC63-441C-AD3C-DD00ED7C8EA0}"/>
    <tableStyle name="Slicer Style 2" pivot="0" table="0" count="1" xr9:uid="{411C68D9-F5DB-43C2-9F76-61EE5A503868}">
      <tableStyleElement type="wholeTable" dxfId="68"/>
    </tableStyle>
    <tableStyle name="Slicer Style 20" pivot="0" table="0" count="1" xr9:uid="{A3F84935-21CE-4E87-A467-4AD26A2F5C77}"/>
    <tableStyle name="Slicer Style 21" pivot="0" table="0" count="1" xr9:uid="{A56C52AC-014F-48EE-AE71-30BCAEDBAD2A}"/>
    <tableStyle name="Slicer Style 22" pivot="0" table="0" count="1" xr9:uid="{BF026D67-927F-4C89-A207-3CA4FB39166D}">
      <tableStyleElement type="headerRow" dxfId="67"/>
    </tableStyle>
    <tableStyle name="Slicer Style 23" pivot="0" table="0" count="1" xr9:uid="{71EBB7F1-403E-4041-82B7-68996AC451C9}">
      <tableStyleElement type="wholeTable" dxfId="66"/>
    </tableStyle>
    <tableStyle name="Slicer Style 24" pivot="0" table="0" count="1" xr9:uid="{DA228D05-4A46-4AEA-9357-D116EE16E5CD}">
      <tableStyleElement type="wholeTable" dxfId="65"/>
    </tableStyle>
    <tableStyle name="Slicer Style 25" pivot="0" table="0" count="1" xr9:uid="{C9A3D686-0406-4BB4-BA23-0B0ABC086B05}"/>
    <tableStyle name="Slicer Style 26" pivot="0" table="0" count="1" xr9:uid="{0AE5464A-8ADB-4AC8-9FAC-757FF6BAB0AE}">
      <tableStyleElement type="wholeTable" dxfId="64"/>
    </tableStyle>
    <tableStyle name="Slicer Style 27" pivot="0" table="0" count="1" xr9:uid="{2001B79B-C006-4763-83DE-36DAD39D0D8B}">
      <tableStyleElement type="wholeTable" dxfId="63"/>
    </tableStyle>
    <tableStyle name="Slicer Style 28" pivot="0" table="0" count="2" xr9:uid="{470D26DB-933E-4AD0-83DC-93D99C5996AD}">
      <tableStyleElement type="wholeTable" dxfId="62"/>
    </tableStyle>
    <tableStyle name="Slicer Style 29" pivot="0" table="0" count="1" xr9:uid="{71E87E34-5F03-4032-902E-F522A86BDEEC}">
      <tableStyleElement type="wholeTable" dxfId="61"/>
    </tableStyle>
    <tableStyle name="Slicer Style 3" pivot="0" table="0" count="1" xr9:uid="{647A0EE0-104B-4AB1-ACEE-78D434B8223A}">
      <tableStyleElement type="wholeTable" dxfId="60"/>
    </tableStyle>
    <tableStyle name="Slicer Style 30" pivot="0" table="0" count="1" xr9:uid="{6343C5A1-6BD9-4088-8615-1A1FEA4EF386}">
      <tableStyleElement type="wholeTable" dxfId="59"/>
    </tableStyle>
    <tableStyle name="Slicer Style 31" pivot="0" table="0" count="1" xr9:uid="{A38A8380-5F77-4EF1-8C9B-7ADB90EA2C9C}">
      <tableStyleElement type="wholeTable" dxfId="58"/>
    </tableStyle>
    <tableStyle name="Slicer Style 32" pivot="0" table="0" count="1" xr9:uid="{DB7A5166-3FB9-41EE-837D-99229124912E}">
      <tableStyleElement type="wholeTable" dxfId="57"/>
    </tableStyle>
    <tableStyle name="Slicer Style 33" pivot="0" table="0" count="1" xr9:uid="{E907B80B-D186-41E0-826C-4D8A99A813BB}">
      <tableStyleElement type="wholeTable" dxfId="56"/>
    </tableStyle>
    <tableStyle name="Slicer Style 34" pivot="0" table="0" count="1" xr9:uid="{869CFB26-672B-4AC9-97A3-E1EB5FCAC32E}"/>
    <tableStyle name="Slicer Style 35" pivot="0" table="0" count="1" xr9:uid="{EC322139-4D9B-4145-8932-A066F56263E8}">
      <tableStyleElement type="wholeTable" dxfId="55"/>
    </tableStyle>
    <tableStyle name="Slicer Style 36" pivot="0" table="0" count="1" xr9:uid="{2DAEA027-361C-4A81-A055-48BF1B7983A5}">
      <tableStyleElement type="wholeTable" dxfId="54"/>
    </tableStyle>
    <tableStyle name="Slicer Style 37" pivot="0" table="0" count="1" xr9:uid="{AB2AD001-5668-453D-8C08-7FC6E3DF8765}">
      <tableStyleElement type="wholeTable" dxfId="53"/>
    </tableStyle>
    <tableStyle name="Slicer Style 38" pivot="0" table="0" count="1" xr9:uid="{0465720D-B023-4F70-9ABC-F250DCD4D7C3}">
      <tableStyleElement type="wholeTable" dxfId="52"/>
    </tableStyle>
    <tableStyle name="Slicer Style 39" pivot="0" table="0" count="1" xr9:uid="{809FF7FC-1197-4A39-B40B-ECCE4991C8F7}">
      <tableStyleElement type="wholeTable" dxfId="51"/>
    </tableStyle>
    <tableStyle name="Slicer Style 4" pivot="0" table="0" count="1" xr9:uid="{B2BBDC0B-E27E-4651-8EC1-92D90E4E1158}"/>
    <tableStyle name="Slicer Style 40" pivot="0" table="0" count="1" xr9:uid="{6910CCFF-4EDF-4AB4-B5E7-D5D3BA4F612D}">
      <tableStyleElement type="wholeTable" dxfId="50"/>
    </tableStyle>
    <tableStyle name="Slicer Style 41" pivot="0" table="0" count="0" xr9:uid="{AE5A0137-13CD-4360-B152-4288C14540B3}"/>
    <tableStyle name="Slicer Style 42" pivot="0" table="0" count="1" xr9:uid="{299AF3B3-806C-44E2-B7C2-5E220D093258}"/>
    <tableStyle name="Slicer Style 43" pivot="0" table="0" count="1" xr9:uid="{0303DBF8-0708-4B6F-B453-727D28736C54}"/>
    <tableStyle name="Slicer Style 44" pivot="0" table="0" count="1" xr9:uid="{F8E19B14-5565-4293-86B4-4ABB17028F3D}"/>
    <tableStyle name="Slicer Style 45" pivot="0" table="0" count="1" xr9:uid="{16344BE6-9732-4E85-87CB-65D01712D85F}"/>
    <tableStyle name="Slicer Style 46" pivot="0" table="0" count="1" xr9:uid="{E3AA935D-9810-428E-B010-F4B702A8EBC6}"/>
    <tableStyle name="Slicer Style 47" pivot="0" table="0" count="1" xr9:uid="{6BD08D6F-41EA-4303-AEBE-51E08D7B3745}">
      <tableStyleElement type="wholeTable" dxfId="49"/>
    </tableStyle>
    <tableStyle name="Slicer Style 5" pivot="0" table="0" count="1" xr9:uid="{F74FEDB2-8A1D-47A1-9603-0B0451EF6B9B}">
      <tableStyleElement type="wholeTable" dxfId="48"/>
    </tableStyle>
    <tableStyle name="Slicer Style 6" pivot="0" table="0" count="1" xr9:uid="{62567976-0ECE-45A9-9417-39A1A4DCF7BF}"/>
    <tableStyle name="Slicer Style 7" pivot="0" table="0" count="2" xr9:uid="{7DCE62CB-81AC-4F6C-BE88-9126BB06D632}"/>
    <tableStyle name="Slicer Style 8" pivot="0" table="0" count="1" xr9:uid="{75EEC6D5-F891-4B82-8E1A-EA38978E4BC8}">
      <tableStyleElement type="wholeTable" dxfId="47"/>
    </tableStyle>
    <tableStyle name="Slicer Style 9" pivot="0" table="0" count="1" xr9:uid="{89B3B68E-072E-44B6-A7BE-6F5B553CFCB9}">
      <tableStyleElement type="wholeTable" dxfId="46"/>
    </tableStyle>
    <tableStyle name="SlicerStyleDark6 10" pivot="0" table="0" count="10" xr9:uid="{D78D77DF-1A34-4349-9340-C8893DDE33C4}">
      <tableStyleElement type="wholeTable" dxfId="45"/>
      <tableStyleElement type="headerRow" dxfId="44"/>
    </tableStyle>
    <tableStyle name="SlicerStyleDark6 11" pivot="0" table="0" count="10" xr9:uid="{8371A32F-1C75-488A-8EDE-9885CAFB594A}">
      <tableStyleElement type="wholeTable" dxfId="43"/>
      <tableStyleElement type="headerRow" dxfId="42"/>
    </tableStyle>
    <tableStyle name="SlicerStyleDark6 12" pivot="0" table="0" count="10" xr9:uid="{AEADBFD3-73AD-4F59-A337-E34109063412}">
      <tableStyleElement type="wholeTable" dxfId="41"/>
      <tableStyleElement type="headerRow" dxfId="40"/>
    </tableStyle>
    <tableStyle name="SlicerStyleDark6 13" pivot="0" table="0" count="10" xr9:uid="{9739BE8F-FC1C-4A4E-88FE-894746D73019}">
      <tableStyleElement type="wholeTable" dxfId="39"/>
      <tableStyleElement type="headerRow" dxfId="38"/>
    </tableStyle>
    <tableStyle name="SlicerStyleDark6 14" pivot="0" table="0" count="10" xr9:uid="{1B319C58-10D0-44B9-872E-96B3B3059C3F}">
      <tableStyleElement type="wholeTable" dxfId="37"/>
      <tableStyleElement type="headerRow" dxfId="36"/>
    </tableStyle>
    <tableStyle name="SlicerStyleDark6 15" pivot="0" table="0" count="10" xr9:uid="{45B484A3-0729-4C35-87B9-6A1362EC3578}">
      <tableStyleElement type="wholeTable" dxfId="35"/>
      <tableStyleElement type="headerRow" dxfId="34"/>
    </tableStyle>
    <tableStyle name="SlicerStyleDark6 16" pivot="0" table="0" count="10" xr9:uid="{D43888D4-1E11-48FB-98EC-ED643732BCA0}">
      <tableStyleElement type="wholeTable" dxfId="33"/>
      <tableStyleElement type="headerRow" dxfId="32"/>
    </tableStyle>
    <tableStyle name="SlicerStyleDark6 17" pivot="0" table="0" count="10" xr9:uid="{F0D13C56-FEE9-4517-BE3B-321A08193A1F}">
      <tableStyleElement type="wholeTable" dxfId="31"/>
      <tableStyleElement type="headerRow" dxfId="30"/>
    </tableStyle>
    <tableStyle name="SlicerStyleDark6 18" pivot="0" table="0" count="10" xr9:uid="{360FDC03-CF12-4DCC-93FD-CE36424BF663}">
      <tableStyleElement type="wholeTable" dxfId="29"/>
      <tableStyleElement type="headerRow" dxfId="28"/>
    </tableStyle>
    <tableStyle name="SlicerStyleDark6 19" pivot="0" table="0" count="10" xr9:uid="{C9CE4AD8-6896-4F46-A453-D6F1DC1822AC}">
      <tableStyleElement type="wholeTable" dxfId="27"/>
      <tableStyleElement type="headerRow" dxfId="26"/>
    </tableStyle>
    <tableStyle name="SlicerStyleDark6 2" pivot="0" table="0" count="10" xr9:uid="{DB150B9B-8ADE-4EEE-B398-C6708D41EA12}">
      <tableStyleElement type="wholeTable" dxfId="25"/>
      <tableStyleElement type="headerRow" dxfId="24"/>
    </tableStyle>
    <tableStyle name="SlicerStyleDark6 20" pivot="0" table="0" count="10" xr9:uid="{A0178D73-E58E-4F58-BF29-07E4A6B877DE}">
      <tableStyleElement type="wholeTable" dxfId="23"/>
      <tableStyleElement type="headerRow" dxfId="22"/>
    </tableStyle>
    <tableStyle name="SlicerStyleDark6 3" pivot="0" table="0" count="10" xr9:uid="{4F5AEB32-DB14-413D-B456-4AAE3F7FAFBD}">
      <tableStyleElement type="wholeTable" dxfId="21"/>
      <tableStyleElement type="headerRow" dxfId="20"/>
    </tableStyle>
    <tableStyle name="SlicerStyleDark6 4" pivot="0" table="0" count="10" xr9:uid="{2066E95C-57E5-4259-B9CE-C3FF733EA78D}">
      <tableStyleElement type="wholeTable" dxfId="19"/>
      <tableStyleElement type="headerRow" dxfId="18"/>
    </tableStyle>
    <tableStyle name="SlicerStyleDark6 5" pivot="0" table="0" count="10" xr9:uid="{E8F5A562-C8FB-4425-B7F7-C22E18DD4581}">
      <tableStyleElement type="wholeTable" dxfId="17"/>
      <tableStyleElement type="headerRow" dxfId="16"/>
    </tableStyle>
    <tableStyle name="SlicerStyleDark6 6" pivot="0" table="0" count="10" xr9:uid="{E630CC05-620C-4FA5-BBD4-621B59CC8995}">
      <tableStyleElement type="wholeTable" dxfId="15"/>
      <tableStyleElement type="headerRow" dxfId="14"/>
    </tableStyle>
    <tableStyle name="SlicerStyleDark6 7" pivot="0" table="0" count="10" xr9:uid="{56EE9210-AF7A-4A93-8BE0-DD763BB9A798}">
      <tableStyleElement type="wholeTable" dxfId="13"/>
      <tableStyleElement type="headerRow" dxfId="12"/>
    </tableStyle>
    <tableStyle name="SlicerStyleDark6 7 2" pivot="0" table="0" count="10" xr9:uid="{1F1EA6E4-7835-4F2D-9C97-ABB21321F13E}">
      <tableStyleElement type="wholeTable" dxfId="11"/>
      <tableStyleElement type="headerRow" dxfId="10"/>
    </tableStyle>
    <tableStyle name="SlicerStyleDark6 7 3" pivot="0" table="0" count="10" xr9:uid="{0A358F52-870F-493E-A359-2B0982D2936F}">
      <tableStyleElement type="wholeTable" dxfId="9"/>
      <tableStyleElement type="headerRow" dxfId="8"/>
    </tableStyle>
    <tableStyle name="SlicerStyleDark6 7 4" pivot="0" table="0" count="10" xr9:uid="{C12BCD44-72DC-4E57-8AF2-8DFDC0002B31}">
      <tableStyleElement type="wholeTable" dxfId="7"/>
      <tableStyleElement type="headerRow" dxfId="6"/>
    </tableStyle>
    <tableStyle name="SlicerStyleDark6 8" pivot="0" table="0" count="10" xr9:uid="{8BE13724-9540-43CC-8AC7-B49D4881A478}">
      <tableStyleElement type="wholeTable" dxfId="5"/>
      <tableStyleElement type="headerRow" dxfId="4"/>
    </tableStyle>
    <tableStyle name="SlicerStyleDark6 9" pivot="0" table="0" count="10" xr9:uid="{BEB30AA8-B22A-4010-B323-0159F2B2A8D5}">
      <tableStyleElement type="wholeTable" dxfId="3"/>
      <tableStyleElement type="headerRow" dxfId="2"/>
    </tableStyle>
    <tableStyle name="SlicerStyleOther1 2" pivot="0" table="0" count="10" xr9:uid="{48A6E8C6-3005-44BF-81F9-FCA5F4D325C6}">
      <tableStyleElement type="wholeTable" dxfId="1"/>
      <tableStyleElement type="headerRow" dxfId="0"/>
    </tableStyle>
  </tableStyles>
  <colors>
    <mruColors>
      <color rgb="FF176F41"/>
      <color rgb="FF1D8B51"/>
      <color rgb="FF000000"/>
      <color rgb="FF5ADC98"/>
      <color rgb="FF79E3AB"/>
      <color rgb="FF2DD37C"/>
      <color rgb="FF23A963"/>
      <color rgb="FF33D580"/>
      <color rgb="FF60DE9C"/>
      <color rgb="FF27BB6D"/>
    </mruColors>
  </colors>
  <extLst>
    <ext xmlns:x14="http://schemas.microsoft.com/office/spreadsheetml/2009/9/main" uri="{46F421CA-312F-682f-3DD2-61675219B42D}">
      <x14:dxfs count="20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76F41"/>
              <bgColor rgb="FF176F4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176F41"/>
              <bgColor rgb="FF176F41"/>
            </patternFill>
          </fill>
          <border>
            <left style="thin">
              <color theme="9"/>
            </left>
            <right style="thin">
              <color theme="9"/>
            </right>
            <top style="thin">
              <color theme="9"/>
            </top>
            <bottom style="thin">
              <color theme="9"/>
            </bottom>
            <vertical/>
            <horizontal/>
          </border>
        </dxf>
        <dxf>
          <font>
            <color rgb="FF959595"/>
          </font>
          <fill>
            <patternFill patternType="solid">
              <fgColor rgb="FF176F41"/>
              <bgColor rgb="FF176F4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176F41"/>
              <bgColor rgb="FF176F41"/>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76F41"/>
              <bgColor rgb="FF176F41"/>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76F41"/>
              <bgColor rgb="FF176F4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name val="Calibri"/>
            <family val="2"/>
            <scheme val="minor"/>
          </font>
          <fill>
            <patternFill patternType="solid">
              <fgColor rgb="FF176F41"/>
              <bgColor rgb="FF176F41"/>
            </patternFill>
          </fill>
          <border diagonalUp="0" diagonalDown="0">
            <left/>
            <right/>
            <top/>
            <bottom/>
            <vertical/>
            <horizontal/>
          </border>
        </dxf>
        <dxf>
          <font>
            <color rgb="FF959595"/>
          </font>
          <fill>
            <patternFill patternType="solid">
              <fgColor rgb="FF176F41"/>
              <bgColor rgb="FF176F4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176F41"/>
              <bgColor rgb="FF176F4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sz val="11"/>
            <color rgb="FF1F9B15"/>
            <name val="Calibri"/>
            <family val="2"/>
            <scheme val="minor"/>
          </font>
          <fill>
            <patternFill patternType="solid">
              <fgColor rgb="FFDFDFDF"/>
              <bgColor rgb="FFDFDFDF"/>
            </patternFill>
          </fill>
          <border diagonalUp="0" diagonalDown="0">
            <left/>
            <right/>
            <top/>
            <bottom/>
            <vertical/>
            <horizontal/>
          </border>
        </dxf>
        <dxf>
          <font>
            <sz val="11"/>
            <color rgb="FF1F9B15"/>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0F8712"/>
              <bgColor rgb="FF00B05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F9B15"/>
              <bgColor rgb="FF92D050"/>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1EC622"/>
          </font>
          <fill>
            <patternFill>
              <bgColor rgb="FF5FEB69"/>
            </patternFill>
          </fill>
          <border diagonalUp="0" diagonalDown="0">
            <left/>
            <right/>
            <top/>
            <bottom/>
            <vertical/>
            <horizontal/>
          </border>
        </dxf>
        <dxf>
          <fill>
            <patternFill patternType="solid">
              <fgColor theme="0"/>
            </patternFill>
          </fill>
        </dxf>
        <dxf>
          <font>
            <color theme="0"/>
            <name val="Calibri"/>
            <family val="2"/>
            <scheme val="minor"/>
          </font>
        </dxf>
        <dxf>
          <font>
            <color theme="0"/>
          </font>
        </dxf>
        <dxf>
          <font>
            <color theme="0"/>
          </font>
        </dxf>
        <dxf>
          <font>
            <color theme="0"/>
          </font>
        </dxf>
        <dxf>
          <font>
            <color theme="0"/>
          </font>
        </dxf>
        <dxf>
          <font>
            <color theme="0"/>
          </font>
        </dxf>
        <dxf>
          <fill>
            <patternFill patternType="none">
              <fgColor indexed="64"/>
              <bgColor auto="1"/>
            </patternFill>
          </fill>
          <border diagonalUp="0" diagonalDown="0">
            <left/>
            <right/>
            <top/>
            <bottom/>
            <vertical/>
            <horizontal/>
          </border>
        </dxf>
        <dxf>
          <fill>
            <patternFill>
              <fgColor rgb="FF176F41"/>
              <bgColor rgb="FF1F9B15"/>
            </patternFill>
          </fill>
        </dxf>
        <dxf>
          <fill>
            <patternFill>
              <fgColor rgb="FF68FC92"/>
            </patternFill>
          </fill>
        </dxf>
        <dxf>
          <fill>
            <patternFill>
              <fgColor rgb="FF1EC622"/>
              <bgColor rgb="FF45F155"/>
            </patternFill>
          </fill>
        </dxf>
        <dxf>
          <fill>
            <patternFill>
              <fgColor theme="0"/>
              <bgColor rgb="FFFFFFFF"/>
            </patternFill>
          </fill>
        </dxf>
        <dxf>
          <fill>
            <patternFill>
              <fgColor theme="0"/>
            </patternFill>
          </fill>
        </dxf>
        <dxf>
          <fill>
            <patternFill>
              <fgColor theme="0"/>
            </patternFill>
          </fill>
        </dxf>
        <dxf>
          <fill>
            <patternFill patternType="solid">
              <bgColor rgb="FF00B050"/>
            </patternFill>
          </fill>
          <border diagonalUp="0" diagonalDown="0">
            <left/>
            <right/>
            <top/>
            <bottom/>
            <vertical/>
            <horizontal/>
          </border>
        </dxf>
        <dxf>
          <fill>
            <patternFill>
              <fgColor rgb="FF1EC622"/>
              <bgColor rgb="FF00B050"/>
            </patternFill>
          </fill>
        </dxf>
        <dxf>
          <fill>
            <patternFill>
              <fgColor rgb="FF1EC622"/>
              <bgColor rgb="FF00B050"/>
            </patternFill>
          </fill>
        </dxf>
        <dxf>
          <fill>
            <patternFill patternType="solid">
              <fgColor rgb="FF1EC622"/>
              <bgColor rgb="FF3F953D"/>
            </patternFill>
          </fill>
          <border diagonalUp="0" diagonalDown="0">
            <left/>
            <right/>
            <top/>
            <bottom/>
            <vertical/>
            <horizontal/>
          </border>
        </dxf>
      </x14:dxfs>
    </ext>
    <ext xmlns:x14="http://schemas.microsoft.com/office/spreadsheetml/2009/9/main" uri="{EB79DEF2-80B8-43e5-95BD-54CBDDF9020C}">
      <x14:slicerStyles defaultSlicerStyle="SlicerStyleDark6 20">
        <x14:slicerStyle name="Slicer Style 1"/>
        <x14:slicerStyle name="Slicer Style 10"/>
        <x14:slicerStyle name="Slicer Style 11"/>
        <x14:slicerStyle name="Slicer Style 12"/>
        <x14:slicerStyle name="Slicer Style 13"/>
        <x14:slicerStyle name="Slicer Style 14">
          <x14:slicerStyleElements>
            <x14:slicerStyleElement type="unselectedItemWithNoData" dxfId="202"/>
          </x14:slicerStyleElements>
        </x14:slicerStyle>
        <x14:slicerStyle name="Slicer Style 15">
          <x14:slicerStyleElements>
            <x14:slicerStyleElement type="hoveredSelectedItemWithData" dxfId="201"/>
          </x14:slicerStyleElements>
        </x14:slicerStyle>
        <x14:slicerStyle name="Slicer Style 16">
          <x14:slicerStyleElements>
            <x14:slicerStyleElement type="hoveredSelectedItemWithData" dxfId="200"/>
          </x14:slicerStyleElements>
        </x14:slicerStyle>
        <x14:slicerStyle name="Slicer Style 17"/>
        <x14:slicerStyle name="Slicer Style 18">
          <x14:slicerStyleElements>
            <x14:slicerStyleElement type="selectedItemWithData" dxfId="199"/>
          </x14:slicerStyleElements>
        </x14:slicerStyle>
        <x14:slicerStyle name="Slicer Style 19">
          <x14:slicerStyleElements>
            <x14:slicerStyleElement type="unselectedItemWithData" dxfId="198"/>
          </x14:slicerStyleElements>
        </x14:slicerStyle>
        <x14:slicerStyle name="Slicer Style 2"/>
        <x14:slicerStyle name="Slicer Style 20">
          <x14:slicerStyleElements>
            <x14:slicerStyleElement type="hoveredSelectedItemWithData" dxfId="197"/>
          </x14:slicerStyleElements>
        </x14:slicerStyle>
        <x14:slicerStyle name="Slicer Style 21">
          <x14:slicerStyleElements>
            <x14:slicerStyleElement type="hoveredUnselectedItemWithData" dxfId="196"/>
          </x14:slicerStyleElements>
        </x14:slicerStyle>
        <x14:slicerStyle name="Slicer Style 22"/>
        <x14:slicerStyle name="Slicer Style 23"/>
        <x14:slicerStyle name="Slicer Style 24"/>
        <x14:slicerStyle name="Slicer Style 25">
          <x14:slicerStyleElements>
            <x14:slicerStyleElement type="selectedItemWithData" dxfId="195"/>
          </x14:slicerStyleElements>
        </x14:slicerStyle>
        <x14:slicerStyle name="Slicer Style 26"/>
        <x14:slicerStyle name="Slicer Style 27"/>
        <x14:slicerStyle name="Slicer Style 28">
          <x14:slicerStyleElements>
            <x14:slicerStyleElement type="hoveredUnselectedItemWithData" dxfId="194"/>
          </x14:slicerStyleElements>
        </x14:slicerStyle>
        <x14:slicerStyle name="Slicer Style 29"/>
        <x14:slicerStyle name="Slicer Style 3"/>
        <x14:slicerStyle name="Slicer Style 30"/>
        <x14:slicerStyle name="Slicer Style 31"/>
        <x14:slicerStyle name="Slicer Style 32"/>
        <x14:slicerStyle name="Slicer Style 33"/>
        <x14:slicerStyle name="Slicer Style 34">
          <x14:slicerStyleElements>
            <x14:slicerStyleElement type="selectedItemWithData" dxfId="193"/>
          </x14:slicerStyleElements>
        </x14:slicerStyle>
        <x14:slicerStyle name="Slicer Style 35"/>
        <x14:slicerStyle name="Slicer Style 36"/>
        <x14:slicerStyle name="Slicer Style 37"/>
        <x14:slicerStyle name="Slicer Style 38"/>
        <x14:slicerStyle name="Slicer Style 39"/>
        <x14:slicerStyle name="Slicer Style 4">
          <x14:slicerStyleElements>
            <x14:slicerStyleElement type="selectedItemWithData" dxfId="192"/>
          </x14:slicerStyleElements>
        </x14:slicerStyle>
        <x14:slicerStyle name="Slicer Style 40"/>
        <x14:slicerStyle name="Slicer Style 41"/>
        <x14:slicerStyle name="Slicer Style 42">
          <x14:slicerStyleElements>
            <x14:slicerStyleElement type="selectedItemWithData" dxfId="191"/>
          </x14:slicerStyleElements>
        </x14:slicerStyle>
        <x14:slicerStyle name="Slicer Style 43">
          <x14:slicerStyleElements>
            <x14:slicerStyleElement type="hoveredSelectedItemWithData" dxfId="190"/>
          </x14:slicerStyleElements>
        </x14:slicerStyle>
        <x14:slicerStyle name="Slicer Style 44">
          <x14:slicerStyleElements>
            <x14:slicerStyleElement type="hoveredUnselectedItemWithData" dxfId="189"/>
          </x14:slicerStyleElements>
        </x14:slicerStyle>
        <x14:slicerStyle name="Slicer Style 45">
          <x14:slicerStyleElements>
            <x14:slicerStyleElement type="unselectedItemWithData" dxfId="188"/>
          </x14:slicerStyleElements>
        </x14:slicerStyle>
        <x14:slicerStyle name="Slicer Style 46">
          <x14:slicerStyleElements>
            <x14:slicerStyleElement type="hoveredUnselectedItemWithData" dxfId="187"/>
          </x14:slicerStyleElements>
        </x14:slicerStyle>
        <x14:slicerStyle name="Slicer Style 47"/>
        <x14:slicerStyle name="Slicer Style 5"/>
        <x14:slicerStyle name="Slicer Style 6">
          <x14:slicerStyleElements>
            <x14:slicerStyleElement type="selectedItemWithData" dxfId="186"/>
          </x14:slicerStyleElements>
        </x14:slicerStyle>
        <x14:slicerStyle name="Slicer Style 7">
          <x14:slicerStyleElements>
            <x14:slicerStyleElement type="selectedItemWithData" dxfId="185"/>
            <x14:slicerStyleElement type="selectedItemWithNoData" dxfId="184"/>
          </x14:slicerStyleElements>
        </x14:slicerStyle>
        <x14:slicerStyle name="Slicer Style 8"/>
        <x14:slicerStyle name="Slicer Style 9"/>
        <x14:slicerStyle name="SlicerStyleDark6 10">
          <x14:slicerStyleElements>
            <x14:slicerStyleElement type="unselectedItemWithData" dxfId="183"/>
            <x14:slicerStyleElement type="unselectedItemWithNoData" dxfId="182"/>
            <x14:slicerStyleElement type="selectedItemWithData" dxfId="181"/>
            <x14:slicerStyleElement type="selectedItemWithNoData" dxfId="180"/>
            <x14:slicerStyleElement type="hoveredUnselectedItemWithData" dxfId="179"/>
            <x14:slicerStyleElement type="hoveredSelectedItemWithData" dxfId="178"/>
            <x14:slicerStyleElement type="hoveredUnselectedItemWithNoData" dxfId="177"/>
            <x14:slicerStyleElement type="hoveredSelectedItemWithNoData" dxfId="176"/>
          </x14:slicerStyleElements>
        </x14:slicerStyle>
        <x14:slicerStyle name="SlicerStyleDark6 11">
          <x14:slicerStyleElements>
            <x14:slicerStyleElement type="unselectedItemWithData" dxfId="175"/>
            <x14:slicerStyleElement type="unselectedItemWithNoData" dxfId="174"/>
            <x14:slicerStyleElement type="selectedItemWithData" dxfId="173"/>
            <x14:slicerStyleElement type="selectedItemWithNoData" dxfId="172"/>
            <x14:slicerStyleElement type="hoveredUnselectedItemWithData" dxfId="171"/>
            <x14:slicerStyleElement type="hoveredSelectedItemWithData" dxfId="170"/>
            <x14:slicerStyleElement type="hoveredUnselectedItemWithNoData" dxfId="169"/>
            <x14:slicerStyleElement type="hoveredSelectedItemWithNoData" dxfId="168"/>
          </x14:slicerStyleElements>
        </x14:slicerStyle>
        <x14:slicerStyle name="SlicerStyleDark6 12">
          <x14:slicerStyleElements>
            <x14:slicerStyleElement type="unselectedItemWithData" dxfId="167"/>
            <x14:slicerStyleElement type="unselectedItemWithNoData" dxfId="166"/>
            <x14:slicerStyleElement type="selectedItemWithData" dxfId="165"/>
            <x14:slicerStyleElement type="selectedItemWithNoData" dxfId="164"/>
            <x14:slicerStyleElement type="hoveredUnselectedItemWithData" dxfId="163"/>
            <x14:slicerStyleElement type="hoveredSelectedItemWithData" dxfId="162"/>
            <x14:slicerStyleElement type="hoveredUnselectedItemWithNoData" dxfId="161"/>
            <x14:slicerStyleElement type="hoveredSelectedItemWithNoData" dxfId="160"/>
          </x14:slicerStyleElements>
        </x14:slicerStyle>
        <x14:slicerStyle name="SlicerStyleDark6 13">
          <x14:slicerStyleElements>
            <x14:slicerStyleElement type="unselectedItemWithData" dxfId="159"/>
            <x14:slicerStyleElement type="unselectedItemWithNoData" dxfId="158"/>
            <x14:slicerStyleElement type="selectedItemWithData" dxfId="157"/>
            <x14:slicerStyleElement type="selectedItemWithNoData" dxfId="156"/>
            <x14:slicerStyleElement type="hoveredUnselectedItemWithData" dxfId="155"/>
            <x14:slicerStyleElement type="hoveredSelectedItemWithData" dxfId="154"/>
            <x14:slicerStyleElement type="hoveredUnselectedItemWithNoData" dxfId="153"/>
            <x14:slicerStyleElement type="hoveredSelectedItemWithNoData" dxfId="152"/>
          </x14:slicerStyleElements>
        </x14:slicerStyle>
        <x14:slicerStyle name="SlicerStyleDark6 14">
          <x14:slicerStyleElements>
            <x14:slicerStyleElement type="unselectedItemWithData" dxfId="151"/>
            <x14:slicerStyleElement type="unselectedItemWithNoData" dxfId="150"/>
            <x14:slicerStyleElement type="selectedItemWithData" dxfId="149"/>
            <x14:slicerStyleElement type="selectedItemWithNoData" dxfId="148"/>
            <x14:slicerStyleElement type="hoveredUnselectedItemWithData" dxfId="147"/>
            <x14:slicerStyleElement type="hoveredSelectedItemWithData" dxfId="146"/>
            <x14:slicerStyleElement type="hoveredUnselectedItemWithNoData" dxfId="145"/>
            <x14:slicerStyleElement type="hoveredSelectedItemWithNoData" dxfId="144"/>
          </x14:slicerStyleElements>
        </x14:slicerStyle>
        <x14:slicerStyle name="SlicerStyleDark6 15">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SlicerStyleDark6 16">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SlicerStyleDark6 17">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Dark6 18">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Dark6 19">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Dark6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Dark6 20">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6 3">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6 4">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6 5">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6 6">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6 7">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7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7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7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8">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9">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17/10/relationships/person" Target="persons/person0.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7984496124031E-2"/>
          <c:y val="4.7247507585609161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93CD-4AEB-AC50-E1167597B2C5}"/>
            </c:ext>
          </c:extLst>
        </c:ser>
        <c:dLbls>
          <c:dLblPos val="t"/>
          <c:showLegendKey val="0"/>
          <c:showVal val="1"/>
          <c:showCatName val="0"/>
          <c:showSerName val="0"/>
          <c:showPercent val="0"/>
          <c:showBubbleSize val="0"/>
        </c:dLbls>
        <c:smooth val="0"/>
        <c:axId val="1257075776"/>
        <c:axId val="1257088736"/>
      </c:lineChart>
      <c:catAx>
        <c:axId val="125707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5776"/>
        <c:crosses val="autoZero"/>
        <c:crossBetween val="between"/>
      </c:valAx>
      <c:spPr>
        <a:noFill/>
        <a:ln w="2540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Godswill.xlsx]TOP 5 CITIES!PivotTable1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n-lt"/>
              </a:rPr>
              <a:t>Performance</a:t>
            </a:r>
            <a:r>
              <a:rPr lang="en-US" baseline="0">
                <a:latin typeface="+mn-lt"/>
              </a:rPr>
              <a:t> of cities by Revenue</a:t>
            </a:r>
            <a:endParaRPr lang="en-US">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dLbl>
          <c:idx val="0"/>
          <c:layout>
            <c:manualLayout>
              <c:x val="2.2222222222222223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layout>
            <c:manualLayout>
              <c:x val="-1.6666666666666718E-2"/>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1.666666666666671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8.3333333333333332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4.4444444444444342E-2"/>
              <c:y val="-0.44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CITIES'!$B$3</c:f>
              <c:strCache>
                <c:ptCount val="1"/>
                <c:pt idx="0">
                  <c:v>Total</c:v>
                </c:pt>
              </c:strCache>
            </c:strRef>
          </c:tx>
          <c:spPr>
            <a:solidFill>
              <a:schemeClr val="tx2">
                <a:lumMod val="75000"/>
              </a:schemeClr>
            </a:solidFill>
            <a:ln>
              <a:noFill/>
            </a:ln>
            <a:effectLst/>
          </c:spPr>
          <c:dPt>
            <c:idx val="0"/>
            <c:bubble3D val="0"/>
            <c:extLst>
              <c:ext xmlns:c16="http://schemas.microsoft.com/office/drawing/2014/chart" uri="{C3380CC4-5D6E-409C-BE32-E72D297353CC}">
                <c16:uniqueId val="{00000002-43A8-4940-A689-A9D33D83AB46}"/>
              </c:ext>
            </c:extLst>
          </c:dPt>
          <c:dPt>
            <c:idx val="1"/>
            <c:bubble3D val="0"/>
            <c:extLst>
              <c:ext xmlns:c16="http://schemas.microsoft.com/office/drawing/2014/chart" uri="{C3380CC4-5D6E-409C-BE32-E72D297353CC}">
                <c16:uniqueId val="{00000003-43A8-4940-A689-A9D33D83AB46}"/>
              </c:ext>
            </c:extLst>
          </c:dPt>
          <c:dPt>
            <c:idx val="2"/>
            <c:bubble3D val="0"/>
            <c:extLst>
              <c:ext xmlns:c16="http://schemas.microsoft.com/office/drawing/2014/chart" uri="{C3380CC4-5D6E-409C-BE32-E72D297353CC}">
                <c16:uniqueId val="{00000004-43A8-4940-A689-A9D33D83AB46}"/>
              </c:ext>
            </c:extLst>
          </c:dPt>
          <c:dPt>
            <c:idx val="3"/>
            <c:bubble3D val="0"/>
            <c:extLst>
              <c:ext xmlns:c16="http://schemas.microsoft.com/office/drawing/2014/chart" uri="{C3380CC4-5D6E-409C-BE32-E72D297353CC}">
                <c16:uniqueId val="{00000005-43A8-4940-A689-A9D33D83AB46}"/>
              </c:ext>
            </c:extLst>
          </c:dPt>
          <c:dPt>
            <c:idx val="4"/>
            <c:bubble3D val="0"/>
            <c:extLst>
              <c:ext xmlns:c16="http://schemas.microsoft.com/office/drawing/2014/chart" uri="{C3380CC4-5D6E-409C-BE32-E72D297353CC}">
                <c16:uniqueId val="{00000006-43A8-4940-A689-A9D33D83AB46}"/>
              </c:ext>
            </c:extLst>
          </c:dPt>
          <c:dLbls>
            <c:dLbl>
              <c:idx val="0"/>
              <c:layout>
                <c:manualLayout>
                  <c:x val="2.2222222222222223E-2"/>
                  <c:y val="-0.35648148148148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A8-4940-A689-A9D33D83AB46}"/>
                </c:ext>
              </c:extLst>
            </c:dLbl>
            <c:dLbl>
              <c:idx val="1"/>
              <c:layout>
                <c:manualLayout>
                  <c:x val="-1.6666666666666718E-2"/>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A8-4940-A689-A9D33D83AB46}"/>
                </c:ext>
              </c:extLst>
            </c:dLbl>
            <c:dLbl>
              <c:idx val="2"/>
              <c:layout>
                <c:manualLayout>
                  <c:x val="-1.6666666666666718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A8-4940-A689-A9D33D83AB46}"/>
                </c:ext>
              </c:extLst>
            </c:dLbl>
            <c:dLbl>
              <c:idx val="3"/>
              <c:layout>
                <c:manualLayout>
                  <c:x val="-8.3333333333333332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A8-4940-A689-A9D33D83AB46}"/>
                </c:ext>
              </c:extLst>
            </c:dLbl>
            <c:dLbl>
              <c:idx val="4"/>
              <c:layout>
                <c:manualLayout>
                  <c:x val="4.4444444444444342E-2"/>
                  <c:y val="-0.44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A8-4940-A689-A9D33D83AB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Chicago</c:v>
                </c:pt>
                <c:pt idx="1">
                  <c:v>Memphis</c:v>
                </c:pt>
                <c:pt idx="2">
                  <c:v>Miami</c:v>
                </c:pt>
                <c:pt idx="3">
                  <c:v>New York</c:v>
                </c:pt>
                <c:pt idx="4">
                  <c:v>Portland</c:v>
                </c:pt>
              </c:strCache>
            </c:strRef>
          </c:cat>
          <c:val>
            <c:numRef>
              <c:f>'TOP 5 CITIES'!$B$4:$B$9</c:f>
              <c:numCache>
                <c:formatCode>"$"#,##0.00</c:formatCode>
                <c:ptCount val="5"/>
                <c:pt idx="0">
                  <c:v>41095.01</c:v>
                </c:pt>
                <c:pt idx="1">
                  <c:v>43713</c:v>
                </c:pt>
                <c:pt idx="2">
                  <c:v>50145.330000000009</c:v>
                </c:pt>
                <c:pt idx="3">
                  <c:v>67180.5</c:v>
                </c:pt>
                <c:pt idx="4">
                  <c:v>50208.35</c:v>
                </c:pt>
              </c:numCache>
            </c:numRef>
          </c:val>
          <c:extLst>
            <c:ext xmlns:c16="http://schemas.microsoft.com/office/drawing/2014/chart" uri="{C3380CC4-5D6E-409C-BE32-E72D297353CC}">
              <c16:uniqueId val="{00000000-43A8-4940-A689-A9D33D83AB46}"/>
            </c:ext>
          </c:extLst>
        </c:ser>
        <c:dLbls>
          <c:showLegendKey val="0"/>
          <c:showVal val="1"/>
          <c:showCatName val="0"/>
          <c:showSerName val="0"/>
          <c:showPercent val="0"/>
          <c:showBubbleSize val="0"/>
        </c:dLbls>
        <c:axId val="1013715568"/>
        <c:axId val="1013717968"/>
      </c:areaChart>
      <c:catAx>
        <c:axId val="1013715568"/>
        <c:scaling>
          <c:orientation val="minMax"/>
        </c:scaling>
        <c:delete val="1"/>
        <c:axPos val="b"/>
        <c:numFmt formatCode="General" sourceLinked="1"/>
        <c:majorTickMark val="out"/>
        <c:minorTickMark val="none"/>
        <c:tickLblPos val="nextTo"/>
        <c:crossAx val="1013717968"/>
        <c:crosses val="autoZero"/>
        <c:auto val="1"/>
        <c:lblAlgn val="ctr"/>
        <c:lblOffset val="100"/>
        <c:noMultiLvlLbl val="0"/>
      </c:catAx>
      <c:valAx>
        <c:axId val="1013717968"/>
        <c:scaling>
          <c:orientation val="minMax"/>
        </c:scaling>
        <c:delete val="1"/>
        <c:axPos val="l"/>
        <c:numFmt formatCode="&quot;$&quot;#,##0.00" sourceLinked="1"/>
        <c:majorTickMark val="none"/>
        <c:minorTickMark val="none"/>
        <c:tickLblPos val="nextTo"/>
        <c:crossAx val="1013715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82000"/>
        </a:schemeClr>
      </a:solidFill>
      <a:round/>
    </a:ln>
    <a:effectLst>
      <a:outerShdw blurRad="50800" dist="50800" dir="5400000" algn="ctr" rotWithShape="0">
        <a:schemeClr val="tx2">
          <a:alpha val="94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Godswill.xlsx]TOP 10 CUSTOMERS!PivotTable1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Customers by revenue</a:t>
            </a:r>
          </a:p>
        </c:rich>
      </c:tx>
      <c:layout>
        <c:manualLayout>
          <c:xMode val="edge"/>
          <c:yMode val="edge"/>
          <c:x val="1.1714884769614648E-2"/>
          <c:y val="6.9804517945994708E-3"/>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ln w="28575" cap="rnd">
            <a:solidFill>
              <a:srgbClr val="00B050"/>
            </a:solidFill>
            <a:round/>
          </a:ln>
          <a:effectLst/>
        </c:spPr>
        <c:marker>
          <c:symbol val="none"/>
        </c:marker>
        <c:dLbl>
          <c:idx val="0"/>
          <c:layout>
            <c:manualLayout>
              <c:x val="-3.3446905524782092E-2"/>
              <c:y val="3.49483122717008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ln w="28575" cap="rnd">
            <a:solidFill>
              <a:srgbClr val="00B050"/>
            </a:solidFill>
            <a:round/>
          </a:ln>
          <a:effectLst/>
        </c:spPr>
        <c:marker>
          <c:symbol val="none"/>
        </c:marker>
        <c:dLbl>
          <c:idx val="0"/>
          <c:layout>
            <c:manualLayout>
              <c:x val="-8.7333586648042139E-2"/>
              <c:y val="-8.3124530304752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ln w="28575" cap="rnd">
            <a:solidFill>
              <a:srgbClr val="00B050"/>
            </a:solidFill>
            <a:round/>
          </a:ln>
          <a:effectLst/>
        </c:spPr>
        <c:marker>
          <c:symbol val="none"/>
        </c:marker>
        <c:dLbl>
          <c:idx val="0"/>
          <c:layout>
            <c:manualLayout>
              <c:x val="-7.9900940975868334E-2"/>
              <c:y val="-1.5113550964500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ln w="28575" cap="rnd">
            <a:solidFill>
              <a:srgbClr val="00B050"/>
            </a:solidFill>
            <a:round/>
          </a:ln>
          <a:effectLst/>
        </c:spPr>
        <c:marker>
          <c:symbol val="none"/>
        </c:marker>
        <c:dLbl>
          <c:idx val="0"/>
          <c:layout>
            <c:manualLayout>
              <c:x val="-7.6184618139781501E-2"/>
              <c:y val="4.5340652893501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ln w="28575" cap="rnd">
            <a:solidFill>
              <a:srgbClr val="00B050"/>
            </a:solidFill>
            <a:round/>
          </a:ln>
          <a:effectLst/>
        </c:spPr>
        <c:marker>
          <c:symbol val="none"/>
        </c:marker>
        <c:dLbl>
          <c:idx val="0"/>
          <c:layout>
            <c:manualLayout>
              <c:x val="1.8581614180433815E-3"/>
              <c:y val="9.7855274360762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ln w="28575" cap="rnd">
            <a:solidFill>
              <a:srgbClr val="00B050"/>
            </a:solidFill>
            <a:round/>
          </a:ln>
          <a:effectLst/>
        </c:spPr>
        <c:marker>
          <c:symbol val="none"/>
        </c:marker>
        <c:dLbl>
          <c:idx val="0"/>
          <c:layout>
            <c:manualLayout>
              <c:x val="7.2468295303694474E-2"/>
              <c:y val="6.2906962089061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28575" cap="rnd">
            <a:solidFill>
              <a:srgbClr val="00B050"/>
            </a:solidFill>
            <a:round/>
          </a:ln>
          <a:effectLst/>
        </c:spPr>
        <c:marker>
          <c:symbol val="none"/>
        </c:marker>
        <c:dLbl>
          <c:idx val="0"/>
          <c:layout>
            <c:manualLayout>
              <c:x val="0.12078049217282423"/>
              <c:y val="1.0484493681510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ln w="28575" cap="rnd">
            <a:solidFill>
              <a:srgbClr val="00B050"/>
            </a:solidFill>
            <a:round/>
          </a:ln>
          <a:effectLst/>
        </c:spPr>
        <c:marker>
          <c:symbol val="none"/>
        </c:marker>
        <c:dLbl>
          <c:idx val="0"/>
          <c:layout>
            <c:manualLayout>
              <c:x val="0.13080015628686498"/>
              <c:y val="1.577181570414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ln w="28575" cap="rnd">
            <a:solidFill>
              <a:srgbClr val="00B050"/>
            </a:solidFill>
            <a:round/>
          </a:ln>
          <a:effectLst/>
        </c:spPr>
        <c:marker>
          <c:symbol val="none"/>
        </c:marker>
        <c:dLbl>
          <c:idx val="0"/>
          <c:layout>
            <c:manualLayout>
              <c:x val="0.10219876612413985"/>
              <c:y val="-5.1481321627043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ln w="28575" cap="rnd">
            <a:solidFill>
              <a:srgbClr val="00B050"/>
            </a:solidFill>
            <a:round/>
          </a:ln>
          <a:effectLst/>
        </c:spPr>
        <c:marker>
          <c:symbol val="none"/>
        </c:marker>
        <c:dLbl>
          <c:idx val="0"/>
          <c:layout>
            <c:manualLayout>
              <c:x val="1.6651702113095274E-2"/>
              <c:y val="-0.13384528444012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8019040448369964"/>
          <c:y val="0.15691406953008005"/>
          <c:w val="0.43236446065840656"/>
          <c:h val="0.81729545397973835"/>
        </c:manualLayout>
      </c:layout>
      <c:radarChart>
        <c:radarStyle val="marker"/>
        <c:varyColors val="0"/>
        <c:ser>
          <c:idx val="0"/>
          <c:order val="0"/>
          <c:tx>
            <c:strRef>
              <c:f>'TOP 10 CUSTOMERS'!$B$3</c:f>
              <c:strCache>
                <c:ptCount val="1"/>
                <c:pt idx="0">
                  <c:v>Total</c:v>
                </c:pt>
              </c:strCache>
            </c:strRef>
          </c:tx>
          <c:spPr>
            <a:ln w="28575" cap="rnd">
              <a:solidFill>
                <a:srgbClr val="00B050"/>
              </a:solidFill>
              <a:round/>
            </a:ln>
            <a:effectLst/>
          </c:spPr>
          <c:marker>
            <c:symbol val="none"/>
          </c:marker>
          <c:dPt>
            <c:idx val="0"/>
            <c:bubble3D val="0"/>
            <c:extLst>
              <c:ext xmlns:c16="http://schemas.microsoft.com/office/drawing/2014/chart" uri="{C3380CC4-5D6E-409C-BE32-E72D297353CC}">
                <c16:uniqueId val="{0000000B-E4F8-4F36-A683-8C281433C1C7}"/>
              </c:ext>
            </c:extLst>
          </c:dPt>
          <c:dPt>
            <c:idx val="1"/>
            <c:bubble3D val="0"/>
            <c:extLst>
              <c:ext xmlns:c16="http://schemas.microsoft.com/office/drawing/2014/chart" uri="{C3380CC4-5D6E-409C-BE32-E72D297353CC}">
                <c16:uniqueId val="{0000000A-E4F8-4F36-A683-8C281433C1C7}"/>
              </c:ext>
            </c:extLst>
          </c:dPt>
          <c:dPt>
            <c:idx val="2"/>
            <c:bubble3D val="0"/>
            <c:extLst>
              <c:ext xmlns:c16="http://schemas.microsoft.com/office/drawing/2014/chart" uri="{C3380CC4-5D6E-409C-BE32-E72D297353CC}">
                <c16:uniqueId val="{00000009-E4F8-4F36-A683-8C281433C1C7}"/>
              </c:ext>
            </c:extLst>
          </c:dPt>
          <c:dPt>
            <c:idx val="3"/>
            <c:bubble3D val="0"/>
            <c:extLst>
              <c:ext xmlns:c16="http://schemas.microsoft.com/office/drawing/2014/chart" uri="{C3380CC4-5D6E-409C-BE32-E72D297353CC}">
                <c16:uniqueId val="{00000008-E4F8-4F36-A683-8C281433C1C7}"/>
              </c:ext>
            </c:extLst>
          </c:dPt>
          <c:dPt>
            <c:idx val="4"/>
            <c:bubble3D val="0"/>
            <c:extLst>
              <c:ext xmlns:c16="http://schemas.microsoft.com/office/drawing/2014/chart" uri="{C3380CC4-5D6E-409C-BE32-E72D297353CC}">
                <c16:uniqueId val="{00000007-E4F8-4F36-A683-8C281433C1C7}"/>
              </c:ext>
            </c:extLst>
          </c:dPt>
          <c:dPt>
            <c:idx val="5"/>
            <c:bubble3D val="0"/>
            <c:extLst>
              <c:ext xmlns:c16="http://schemas.microsoft.com/office/drawing/2014/chart" uri="{C3380CC4-5D6E-409C-BE32-E72D297353CC}">
                <c16:uniqueId val="{00000006-E4F8-4F36-A683-8C281433C1C7}"/>
              </c:ext>
            </c:extLst>
          </c:dPt>
          <c:dPt>
            <c:idx val="6"/>
            <c:bubble3D val="0"/>
            <c:extLst>
              <c:ext xmlns:c16="http://schemas.microsoft.com/office/drawing/2014/chart" uri="{C3380CC4-5D6E-409C-BE32-E72D297353CC}">
                <c16:uniqueId val="{00000005-E4F8-4F36-A683-8C281433C1C7}"/>
              </c:ext>
            </c:extLst>
          </c:dPt>
          <c:dPt>
            <c:idx val="7"/>
            <c:bubble3D val="0"/>
            <c:extLst>
              <c:ext xmlns:c16="http://schemas.microsoft.com/office/drawing/2014/chart" uri="{C3380CC4-5D6E-409C-BE32-E72D297353CC}">
                <c16:uniqueId val="{00000004-E4F8-4F36-A683-8C281433C1C7}"/>
              </c:ext>
            </c:extLst>
          </c:dPt>
          <c:dPt>
            <c:idx val="8"/>
            <c:bubble3D val="0"/>
            <c:extLst>
              <c:ext xmlns:c16="http://schemas.microsoft.com/office/drawing/2014/chart" uri="{C3380CC4-5D6E-409C-BE32-E72D297353CC}">
                <c16:uniqueId val="{00000003-E4F8-4F36-A683-8C281433C1C7}"/>
              </c:ext>
            </c:extLst>
          </c:dPt>
          <c:dPt>
            <c:idx val="9"/>
            <c:bubble3D val="0"/>
            <c:extLst>
              <c:ext xmlns:c16="http://schemas.microsoft.com/office/drawing/2014/chart" uri="{C3380CC4-5D6E-409C-BE32-E72D297353CC}">
                <c16:uniqueId val="{00000002-E4F8-4F36-A683-8C281433C1C7}"/>
              </c:ext>
            </c:extLst>
          </c:dPt>
          <c:dPt>
            <c:idx val="10"/>
            <c:bubble3D val="0"/>
            <c:extLst>
              <c:ext xmlns:c16="http://schemas.microsoft.com/office/drawing/2014/chart" uri="{C3380CC4-5D6E-409C-BE32-E72D297353CC}">
                <c16:uniqueId val="{0000000A-397F-4CEE-9A04-2A2D807AF583}"/>
              </c:ext>
            </c:extLst>
          </c:dPt>
          <c:dPt>
            <c:idx val="11"/>
            <c:bubble3D val="0"/>
            <c:extLst>
              <c:ext xmlns:c16="http://schemas.microsoft.com/office/drawing/2014/chart" uri="{C3380CC4-5D6E-409C-BE32-E72D297353CC}">
                <c16:uniqueId val="{0000000B-397F-4CEE-9A04-2A2D807AF583}"/>
              </c:ext>
            </c:extLst>
          </c:dPt>
          <c:dPt>
            <c:idx val="12"/>
            <c:bubble3D val="0"/>
            <c:extLst>
              <c:ext xmlns:c16="http://schemas.microsoft.com/office/drawing/2014/chart" uri="{C3380CC4-5D6E-409C-BE32-E72D297353CC}">
                <c16:uniqueId val="{0000000C-397F-4CEE-9A04-2A2D807AF583}"/>
              </c:ext>
            </c:extLst>
          </c:dPt>
          <c:dPt>
            <c:idx val="13"/>
            <c:bubble3D val="0"/>
            <c:extLst>
              <c:ext xmlns:c16="http://schemas.microsoft.com/office/drawing/2014/chart" uri="{C3380CC4-5D6E-409C-BE32-E72D297353CC}">
                <c16:uniqueId val="{0000000D-397F-4CEE-9A04-2A2D807AF583}"/>
              </c:ext>
            </c:extLst>
          </c:dPt>
          <c:dPt>
            <c:idx val="14"/>
            <c:bubble3D val="0"/>
            <c:extLst>
              <c:ext xmlns:c16="http://schemas.microsoft.com/office/drawing/2014/chart" uri="{C3380CC4-5D6E-409C-BE32-E72D297353CC}">
                <c16:uniqueId val="{0000000E-397F-4CEE-9A04-2A2D807AF583}"/>
              </c:ext>
            </c:extLst>
          </c:dPt>
          <c:dLbls>
            <c:dLbl>
              <c:idx val="0"/>
              <c:layout>
                <c:manualLayout>
                  <c:x val="1.6651702113095274E-2"/>
                  <c:y val="-0.13384528444012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F8-4F36-A683-8C281433C1C7}"/>
                </c:ext>
              </c:extLst>
            </c:dLbl>
            <c:dLbl>
              <c:idx val="1"/>
              <c:layout>
                <c:manualLayout>
                  <c:x val="0.10219876612413985"/>
                  <c:y val="-5.1481321627043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F8-4F36-A683-8C281433C1C7}"/>
                </c:ext>
              </c:extLst>
            </c:dLbl>
            <c:dLbl>
              <c:idx val="2"/>
              <c:layout>
                <c:manualLayout>
                  <c:x val="0.13080015628686498"/>
                  <c:y val="1.577181570414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F8-4F36-A683-8C281433C1C7}"/>
                </c:ext>
              </c:extLst>
            </c:dLbl>
            <c:dLbl>
              <c:idx val="3"/>
              <c:layout>
                <c:manualLayout>
                  <c:x val="0.12078049217282423"/>
                  <c:y val="1.0484493681510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F8-4F36-A683-8C281433C1C7}"/>
                </c:ext>
              </c:extLst>
            </c:dLbl>
            <c:dLbl>
              <c:idx val="4"/>
              <c:layout>
                <c:manualLayout>
                  <c:x val="7.2468295303694474E-2"/>
                  <c:y val="6.2906962089061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F8-4F36-A683-8C281433C1C7}"/>
                </c:ext>
              </c:extLst>
            </c:dLbl>
            <c:dLbl>
              <c:idx val="5"/>
              <c:layout>
                <c:manualLayout>
                  <c:x val="1.8581614180433815E-3"/>
                  <c:y val="9.7855274360762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F8-4F36-A683-8C281433C1C7}"/>
                </c:ext>
              </c:extLst>
            </c:dLbl>
            <c:dLbl>
              <c:idx val="6"/>
              <c:layout>
                <c:manualLayout>
                  <c:x val="-7.6184618139781501E-2"/>
                  <c:y val="4.5340652893501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F8-4F36-A683-8C281433C1C7}"/>
                </c:ext>
              </c:extLst>
            </c:dLbl>
            <c:dLbl>
              <c:idx val="7"/>
              <c:layout>
                <c:manualLayout>
                  <c:x val="-7.9900940975868334E-2"/>
                  <c:y val="-1.5113550964500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F8-4F36-A683-8C281433C1C7}"/>
                </c:ext>
              </c:extLst>
            </c:dLbl>
            <c:dLbl>
              <c:idx val="8"/>
              <c:layout>
                <c:manualLayout>
                  <c:x val="-8.7333586648042139E-2"/>
                  <c:y val="-8.3124530304752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F8-4F36-A683-8C281433C1C7}"/>
                </c:ext>
              </c:extLst>
            </c:dLbl>
            <c:dLbl>
              <c:idx val="9"/>
              <c:layout>
                <c:manualLayout>
                  <c:x val="-3.3446905524782092E-2"/>
                  <c:y val="3.4948312271700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F8-4F36-A683-8C281433C1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CUSTOMERS'!$B$4:$B$14</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00-E4F8-4F36-A683-8C281433C1C7}"/>
            </c:ext>
          </c:extLst>
        </c:ser>
        <c:dLbls>
          <c:showLegendKey val="0"/>
          <c:showVal val="1"/>
          <c:showCatName val="0"/>
          <c:showSerName val="0"/>
          <c:showPercent val="0"/>
          <c:showBubbleSize val="0"/>
        </c:dLbls>
        <c:axId val="1257075776"/>
        <c:axId val="1257088736"/>
      </c:radarChart>
      <c:catAx>
        <c:axId val="125707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1"/>
        <c:axPos val="l"/>
        <c:majorGridlines>
          <c:spPr>
            <a:ln w="9525" cap="flat" cmpd="sng" algn="ctr">
              <a:solidFill>
                <a:schemeClr val="bg1"/>
              </a:solidFill>
              <a:round/>
            </a:ln>
            <a:effectLst/>
          </c:spPr>
        </c:majorGridlines>
        <c:numFmt formatCode="&quot;$&quot;#,##0.00" sourceLinked="1"/>
        <c:majorTickMark val="out"/>
        <c:minorTickMark val="none"/>
        <c:tickLblPos val="nextTo"/>
        <c:crossAx val="1257075776"/>
        <c:crosses val="autoZero"/>
        <c:crossBetween val="between"/>
      </c:valAx>
      <c:spPr>
        <a:noFill/>
        <a:ln w="2540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REP!PivotTable1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t>
            </a:r>
            <a:endParaRPr lang="en-US"/>
          </a:p>
        </c:rich>
      </c:tx>
      <c:layout>
        <c:manualLayout>
          <c:xMode val="edge"/>
          <c:yMode val="edge"/>
          <c:x val="0.470901214446330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s>
    <c:plotArea>
      <c:layout>
        <c:manualLayout>
          <c:layoutTarget val="inner"/>
          <c:xMode val="edge"/>
          <c:yMode val="edge"/>
          <c:x val="0.13671131623005597"/>
          <c:y val="0.18920657201178595"/>
          <c:w val="0.96124031007751942"/>
          <c:h val="0.75636528834274241"/>
        </c:manualLayout>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2B4C-4521-93F1-655B035CA3C8}"/>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B4C-4521-93F1-655B035CA3C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2B4C-4521-93F1-655B035CA3C8}"/>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2B4C-4521-93F1-655B035CA3C8}"/>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2B4C-4521-93F1-655B035CA3C8}"/>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B-2B4C-4521-93F1-655B035CA3C8}"/>
              </c:ext>
            </c:extLst>
          </c:dPt>
          <c:dPt>
            <c:idx val="6"/>
            <c:invertIfNegative val="0"/>
            <c:bubble3D val="0"/>
            <c:spPr>
              <a:solidFill>
                <a:schemeClr val="accent1">
                  <a:lumMod val="50000"/>
                </a:schemeClr>
              </a:solidFill>
              <a:ln>
                <a:noFill/>
              </a:ln>
              <a:effectLst/>
            </c:spPr>
            <c:extLst>
              <c:ext xmlns:c16="http://schemas.microsoft.com/office/drawing/2014/chart" uri="{C3380CC4-5D6E-409C-BE32-E72D297353CC}">
                <c16:uniqueId val="{0000000D-2B4C-4521-93F1-655B035CA3C8}"/>
              </c:ext>
            </c:extLst>
          </c:dPt>
          <c:dPt>
            <c:idx val="7"/>
            <c:invertIfNegative val="0"/>
            <c:bubble3D val="0"/>
            <c:spPr>
              <a:solidFill>
                <a:schemeClr val="accent1">
                  <a:lumMod val="50000"/>
                </a:schemeClr>
              </a:solidFill>
              <a:ln>
                <a:noFill/>
              </a:ln>
              <a:effectLst/>
            </c:spPr>
            <c:extLst>
              <c:ext xmlns:c16="http://schemas.microsoft.com/office/drawing/2014/chart" uri="{C3380CC4-5D6E-409C-BE32-E72D297353CC}">
                <c16:uniqueId val="{0000000F-2B4C-4521-93F1-655B035CA3C8}"/>
              </c:ext>
            </c:extLst>
          </c:dPt>
          <c:dPt>
            <c:idx val="8"/>
            <c:invertIfNegative val="0"/>
            <c:bubble3D val="0"/>
            <c:extLst>
              <c:ext xmlns:c16="http://schemas.microsoft.com/office/drawing/2014/chart" uri="{C3380CC4-5D6E-409C-BE32-E72D297353CC}">
                <c16:uniqueId val="{00000011-2B4C-4521-93F1-655B035CA3C8}"/>
              </c:ext>
            </c:extLst>
          </c:dPt>
          <c:dPt>
            <c:idx val="9"/>
            <c:invertIfNegative val="0"/>
            <c:bubble3D val="0"/>
            <c:extLst>
              <c:ext xmlns:c16="http://schemas.microsoft.com/office/drawing/2014/chart" uri="{C3380CC4-5D6E-409C-BE32-E72D297353CC}">
                <c16:uniqueId val="{00000013-2B4C-4521-93F1-655B035CA3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4-2B4C-4521-93F1-655B035CA3C8}"/>
            </c:ext>
          </c:extLst>
        </c:ser>
        <c:dLbls>
          <c:dLblPos val="outEnd"/>
          <c:showLegendKey val="0"/>
          <c:showVal val="1"/>
          <c:showCatName val="0"/>
          <c:showSerName val="0"/>
          <c:showPercent val="0"/>
          <c:showBubbleSize val="0"/>
        </c:dLbls>
        <c:gapWidth val="13"/>
        <c:overlap val="46"/>
        <c:axId val="1257075776"/>
        <c:axId val="1257088736"/>
      </c:barChart>
      <c:catAx>
        <c:axId val="1257075776"/>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1"/>
        <c:axPos val="b"/>
        <c:majorGridlines>
          <c:spPr>
            <a:ln w="9525" cap="flat" cmpd="sng" algn="ctr">
              <a:solidFill>
                <a:schemeClr val="bg1"/>
              </a:solidFill>
              <a:round/>
            </a:ln>
            <a:effectLst/>
          </c:spPr>
        </c:majorGridlines>
        <c:numFmt formatCode="&quot;$&quot;#,##0.00" sourceLinked="1"/>
        <c:majorTickMark val="out"/>
        <c:minorTickMark val="none"/>
        <c:tickLblPos val="nextTo"/>
        <c:crossAx val="1257075776"/>
        <c:crosses val="autoZero"/>
        <c:crossBetween val="between"/>
      </c:valAx>
      <c:spPr>
        <a:noFill/>
        <a:ln w="25400">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REGION !PivotTable1</c:name>
    <c:fmtId val="8"/>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REGION '!$B$3</c:f>
              <c:strCache>
                <c:ptCount val="1"/>
                <c:pt idx="0">
                  <c:v>Total</c:v>
                </c:pt>
              </c:strCache>
            </c:strRef>
          </c:tx>
          <c:spPr>
            <a:ln>
              <a:noFill/>
            </a:ln>
          </c:spPr>
          <c:dPt>
            <c:idx val="0"/>
            <c:bubble3D val="0"/>
            <c:spPr>
              <a:solidFill>
                <a:schemeClr val="tx2"/>
              </a:solidFill>
              <a:ln>
                <a:noFill/>
              </a:ln>
              <a:effectLst/>
            </c:spPr>
            <c:extLst>
              <c:ext xmlns:c16="http://schemas.microsoft.com/office/drawing/2014/chart" uri="{C3380CC4-5D6E-409C-BE32-E72D297353CC}">
                <c16:uniqueId val="{00000001-4E51-41D8-BE2B-EAB40A83BDC1}"/>
              </c:ext>
            </c:extLst>
          </c:dPt>
          <c:dPt>
            <c:idx val="1"/>
            <c:bubble3D val="0"/>
            <c:spPr>
              <a:solidFill>
                <a:schemeClr val="accent1"/>
              </a:solidFill>
              <a:ln>
                <a:noFill/>
              </a:ln>
              <a:effectLst/>
            </c:spPr>
            <c:extLst>
              <c:ext xmlns:c16="http://schemas.microsoft.com/office/drawing/2014/chart" uri="{C3380CC4-5D6E-409C-BE32-E72D297353CC}">
                <c16:uniqueId val="{00000003-4E51-41D8-BE2B-EAB40A83BDC1}"/>
              </c:ext>
            </c:extLst>
          </c:dPt>
          <c:dPt>
            <c:idx val="2"/>
            <c:bubble3D val="0"/>
            <c:spPr>
              <a:solidFill>
                <a:srgbClr val="00B0F0"/>
              </a:solidFill>
              <a:ln>
                <a:noFill/>
              </a:ln>
              <a:effectLst/>
            </c:spPr>
            <c:extLst>
              <c:ext xmlns:c16="http://schemas.microsoft.com/office/drawing/2014/chart" uri="{C3380CC4-5D6E-409C-BE32-E72D297353CC}">
                <c16:uniqueId val="{00000005-4E51-41D8-BE2B-EAB40A83BDC1}"/>
              </c:ext>
            </c:extLst>
          </c:dPt>
          <c:dPt>
            <c:idx val="3"/>
            <c:bubble3D val="0"/>
            <c:spPr>
              <a:solidFill>
                <a:schemeClr val="accent4">
                  <a:lumMod val="75000"/>
                </a:schemeClr>
              </a:solidFill>
              <a:ln>
                <a:noFill/>
              </a:ln>
              <a:effectLst/>
            </c:spPr>
            <c:extLst>
              <c:ext xmlns:c16="http://schemas.microsoft.com/office/drawing/2014/chart" uri="{C3380CC4-5D6E-409C-BE32-E72D297353CC}">
                <c16:uniqueId val="{00000007-4E51-41D8-BE2B-EAB40A83BDC1}"/>
              </c:ext>
            </c:extLst>
          </c:dPt>
          <c:dPt>
            <c:idx val="4"/>
            <c:bubble3D val="0"/>
            <c:spPr>
              <a:solidFill>
                <a:schemeClr val="accent5"/>
              </a:solidFill>
              <a:ln>
                <a:noFill/>
              </a:ln>
              <a:effectLst/>
            </c:spPr>
            <c:extLst>
              <c:ext xmlns:c16="http://schemas.microsoft.com/office/drawing/2014/chart" uri="{C3380CC4-5D6E-409C-BE32-E72D297353CC}">
                <c16:uniqueId val="{00000009-4E51-41D8-BE2B-EAB40A83BDC1}"/>
              </c:ext>
            </c:extLst>
          </c:dPt>
          <c:dPt>
            <c:idx val="5"/>
            <c:bubble3D val="0"/>
            <c:spPr>
              <a:solidFill>
                <a:schemeClr val="accent6"/>
              </a:solidFill>
              <a:ln>
                <a:noFill/>
              </a:ln>
              <a:effectLst/>
            </c:spPr>
            <c:extLst>
              <c:ext xmlns:c16="http://schemas.microsoft.com/office/drawing/2014/chart" uri="{C3380CC4-5D6E-409C-BE32-E72D297353CC}">
                <c16:uniqueId val="{0000000B-4E51-41D8-BE2B-EAB40A83BDC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E51-41D8-BE2B-EAB40A83BDC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E51-41D8-BE2B-EAB40A83BDC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4E51-41D8-BE2B-EAB40A83BDC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4E51-41D8-BE2B-EAB40A83B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'!$A$4:$A$8</c:f>
              <c:strCache>
                <c:ptCount val="4"/>
                <c:pt idx="0">
                  <c:v>North</c:v>
                </c:pt>
                <c:pt idx="1">
                  <c:v>East</c:v>
                </c:pt>
                <c:pt idx="2">
                  <c:v>South</c:v>
                </c:pt>
                <c:pt idx="3">
                  <c:v>West</c:v>
                </c:pt>
              </c:strCache>
            </c:strRef>
          </c:cat>
          <c:val>
            <c:numRef>
              <c:f>'SALES BY REGION '!$B$4:$B$8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2-4E51-41D8-BE2B-EAB40A83BDC1}"/>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REGION !PivotTable1</c:name>
    <c:fmtId val="12"/>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REGION '!$B$3</c:f>
              <c:strCache>
                <c:ptCount val="1"/>
                <c:pt idx="0">
                  <c:v>Total</c:v>
                </c:pt>
              </c:strCache>
            </c:strRef>
          </c:tx>
          <c:spPr>
            <a:ln>
              <a:noFill/>
            </a:ln>
          </c:spPr>
          <c:dPt>
            <c:idx val="0"/>
            <c:bubble3D val="0"/>
            <c:spPr>
              <a:solidFill>
                <a:schemeClr val="accent1"/>
              </a:solidFill>
              <a:ln>
                <a:noFill/>
              </a:ln>
              <a:effectLst/>
            </c:spPr>
            <c:extLst>
              <c:ext xmlns:c16="http://schemas.microsoft.com/office/drawing/2014/chart" uri="{C3380CC4-5D6E-409C-BE32-E72D297353CC}">
                <c16:uniqueId val="{00000001-4E51-41D8-BE2B-EAB40A83BDC1}"/>
              </c:ext>
            </c:extLst>
          </c:dPt>
          <c:dPt>
            <c:idx val="1"/>
            <c:bubble3D val="0"/>
            <c:spPr>
              <a:solidFill>
                <a:schemeClr val="accent2"/>
              </a:solidFill>
              <a:ln>
                <a:noFill/>
              </a:ln>
              <a:effectLst/>
            </c:spPr>
            <c:extLst>
              <c:ext xmlns:c16="http://schemas.microsoft.com/office/drawing/2014/chart" uri="{C3380CC4-5D6E-409C-BE32-E72D297353CC}">
                <c16:uniqueId val="{00000003-4E51-41D8-BE2B-EAB40A83BDC1}"/>
              </c:ext>
            </c:extLst>
          </c:dPt>
          <c:dPt>
            <c:idx val="2"/>
            <c:bubble3D val="0"/>
            <c:spPr>
              <a:solidFill>
                <a:schemeClr val="accent3"/>
              </a:solidFill>
              <a:ln>
                <a:noFill/>
              </a:ln>
              <a:effectLst/>
            </c:spPr>
            <c:extLst>
              <c:ext xmlns:c16="http://schemas.microsoft.com/office/drawing/2014/chart" uri="{C3380CC4-5D6E-409C-BE32-E72D297353CC}">
                <c16:uniqueId val="{00000005-4E51-41D8-BE2B-EAB40A83BDC1}"/>
              </c:ext>
            </c:extLst>
          </c:dPt>
          <c:dPt>
            <c:idx val="3"/>
            <c:bubble3D val="0"/>
            <c:spPr>
              <a:solidFill>
                <a:schemeClr val="accent4"/>
              </a:solidFill>
              <a:ln>
                <a:noFill/>
              </a:ln>
              <a:effectLst/>
            </c:spPr>
            <c:extLst>
              <c:ext xmlns:c16="http://schemas.microsoft.com/office/drawing/2014/chart" uri="{C3380CC4-5D6E-409C-BE32-E72D297353CC}">
                <c16:uniqueId val="{00000007-4E51-41D8-BE2B-EAB40A83BDC1}"/>
              </c:ext>
            </c:extLst>
          </c:dPt>
          <c:dPt>
            <c:idx val="4"/>
            <c:bubble3D val="0"/>
            <c:spPr>
              <a:solidFill>
                <a:schemeClr val="accent5"/>
              </a:solidFill>
              <a:ln>
                <a:noFill/>
              </a:ln>
              <a:effectLst/>
            </c:spPr>
            <c:extLst>
              <c:ext xmlns:c16="http://schemas.microsoft.com/office/drawing/2014/chart" uri="{C3380CC4-5D6E-409C-BE32-E72D297353CC}">
                <c16:uniqueId val="{00000009-4E51-41D8-BE2B-EAB40A83BDC1}"/>
              </c:ext>
            </c:extLst>
          </c:dPt>
          <c:dPt>
            <c:idx val="5"/>
            <c:bubble3D val="0"/>
            <c:spPr>
              <a:solidFill>
                <a:schemeClr val="accent6"/>
              </a:solidFill>
              <a:ln>
                <a:noFill/>
              </a:ln>
              <a:effectLst/>
            </c:spPr>
            <c:extLst>
              <c:ext xmlns:c16="http://schemas.microsoft.com/office/drawing/2014/chart" uri="{C3380CC4-5D6E-409C-BE32-E72D297353CC}">
                <c16:uniqueId val="{0000000B-4E51-41D8-BE2B-EAB40A83BDC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E51-41D8-BE2B-EAB40A83BDC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E51-41D8-BE2B-EAB40A83BDC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4E51-41D8-BE2B-EAB40A83BDC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4E51-41D8-BE2B-EAB40A83B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'!$A$4:$A$8</c:f>
              <c:strCache>
                <c:ptCount val="4"/>
                <c:pt idx="0">
                  <c:v>North</c:v>
                </c:pt>
                <c:pt idx="1">
                  <c:v>East</c:v>
                </c:pt>
                <c:pt idx="2">
                  <c:v>South</c:v>
                </c:pt>
                <c:pt idx="3">
                  <c:v>West</c:v>
                </c:pt>
              </c:strCache>
            </c:strRef>
          </c:cat>
          <c:val>
            <c:numRef>
              <c:f>'SALES BY REGION '!$B$4:$B$8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2-4E51-41D8-BE2B-EAB40A83BDC1}"/>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REGION !PivotTable1</c:name>
    <c:fmtId val="13"/>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REGION '!$B$3</c:f>
              <c:strCache>
                <c:ptCount val="1"/>
                <c:pt idx="0">
                  <c:v>Total</c:v>
                </c:pt>
              </c:strCache>
            </c:strRef>
          </c:tx>
          <c:spPr>
            <a:ln>
              <a:noFill/>
            </a:ln>
          </c:spPr>
          <c:dPt>
            <c:idx val="0"/>
            <c:bubble3D val="0"/>
            <c:spPr>
              <a:solidFill>
                <a:schemeClr val="tx2"/>
              </a:solidFill>
              <a:ln>
                <a:noFill/>
              </a:ln>
              <a:effectLst/>
            </c:spPr>
            <c:extLst>
              <c:ext xmlns:c16="http://schemas.microsoft.com/office/drawing/2014/chart" uri="{C3380CC4-5D6E-409C-BE32-E72D297353CC}">
                <c16:uniqueId val="{00000001-4E51-41D8-BE2B-EAB40A83BDC1}"/>
              </c:ext>
            </c:extLst>
          </c:dPt>
          <c:dPt>
            <c:idx val="1"/>
            <c:bubble3D val="0"/>
            <c:spPr>
              <a:solidFill>
                <a:schemeClr val="accent1"/>
              </a:solidFill>
              <a:ln>
                <a:noFill/>
              </a:ln>
              <a:effectLst/>
            </c:spPr>
            <c:extLst>
              <c:ext xmlns:c16="http://schemas.microsoft.com/office/drawing/2014/chart" uri="{C3380CC4-5D6E-409C-BE32-E72D297353CC}">
                <c16:uniqueId val="{00000003-4E51-41D8-BE2B-EAB40A83BDC1}"/>
              </c:ext>
            </c:extLst>
          </c:dPt>
          <c:dPt>
            <c:idx val="2"/>
            <c:bubble3D val="0"/>
            <c:spPr>
              <a:solidFill>
                <a:srgbClr val="00B0F0"/>
              </a:solidFill>
              <a:ln>
                <a:noFill/>
              </a:ln>
              <a:effectLst/>
            </c:spPr>
            <c:extLst>
              <c:ext xmlns:c16="http://schemas.microsoft.com/office/drawing/2014/chart" uri="{C3380CC4-5D6E-409C-BE32-E72D297353CC}">
                <c16:uniqueId val="{00000005-4E51-41D8-BE2B-EAB40A83BDC1}"/>
              </c:ext>
            </c:extLst>
          </c:dPt>
          <c:dPt>
            <c:idx val="3"/>
            <c:bubble3D val="0"/>
            <c:spPr>
              <a:solidFill>
                <a:schemeClr val="accent4">
                  <a:lumMod val="75000"/>
                </a:schemeClr>
              </a:solidFill>
              <a:ln>
                <a:noFill/>
              </a:ln>
              <a:effectLst/>
            </c:spPr>
            <c:extLst>
              <c:ext xmlns:c16="http://schemas.microsoft.com/office/drawing/2014/chart" uri="{C3380CC4-5D6E-409C-BE32-E72D297353CC}">
                <c16:uniqueId val="{00000007-4E51-41D8-BE2B-EAB40A83BDC1}"/>
              </c:ext>
            </c:extLst>
          </c:dPt>
          <c:dPt>
            <c:idx val="4"/>
            <c:bubble3D val="0"/>
            <c:spPr>
              <a:solidFill>
                <a:schemeClr val="accent5"/>
              </a:solidFill>
              <a:ln>
                <a:noFill/>
              </a:ln>
              <a:effectLst/>
            </c:spPr>
            <c:extLst>
              <c:ext xmlns:c16="http://schemas.microsoft.com/office/drawing/2014/chart" uri="{C3380CC4-5D6E-409C-BE32-E72D297353CC}">
                <c16:uniqueId val="{00000009-4E51-41D8-BE2B-EAB40A83BDC1}"/>
              </c:ext>
            </c:extLst>
          </c:dPt>
          <c:dPt>
            <c:idx val="5"/>
            <c:bubble3D val="0"/>
            <c:spPr>
              <a:solidFill>
                <a:schemeClr val="accent6"/>
              </a:solidFill>
              <a:ln>
                <a:noFill/>
              </a:ln>
              <a:effectLst/>
            </c:spPr>
            <c:extLst>
              <c:ext xmlns:c16="http://schemas.microsoft.com/office/drawing/2014/chart" uri="{C3380CC4-5D6E-409C-BE32-E72D297353CC}">
                <c16:uniqueId val="{0000000B-4E51-41D8-BE2B-EAB40A83BDC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E51-41D8-BE2B-EAB40A83BDC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E51-41D8-BE2B-EAB40A83BDC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4E51-41D8-BE2B-EAB40A83BDC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4E51-41D8-BE2B-EAB40A83B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'!$A$4:$A$8</c:f>
              <c:strCache>
                <c:ptCount val="4"/>
                <c:pt idx="0">
                  <c:v>North</c:v>
                </c:pt>
                <c:pt idx="1">
                  <c:v>East</c:v>
                </c:pt>
                <c:pt idx="2">
                  <c:v>South</c:v>
                </c:pt>
                <c:pt idx="3">
                  <c:v>West</c:v>
                </c:pt>
              </c:strCache>
            </c:strRef>
          </c:cat>
          <c:val>
            <c:numRef>
              <c:f>'SALES BY REGION '!$B$4:$B$8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2-4E51-41D8-BE2B-EAB40A83BDC1}"/>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REGION !PivotTable1</c:name>
    <c:fmtId val="14"/>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6182582366476179"/>
          <c:y val="0"/>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solidFill>
          <a:ln>
            <a:noFill/>
          </a:ln>
          <a:effectLst/>
        </c:spPr>
      </c:pivotFmt>
      <c:pivotFmt>
        <c:idx val="56"/>
        <c:spPr>
          <a:solidFill>
            <a:schemeClr val="accent1"/>
          </a:solidFill>
          <a:ln>
            <a:noFill/>
          </a:ln>
          <a:effectLst/>
        </c:spPr>
      </c:pivotFmt>
      <c:pivotFmt>
        <c:idx val="57"/>
        <c:spPr>
          <a:solidFill>
            <a:srgbClr val="00B0F0"/>
          </a:solidFill>
          <a:ln>
            <a:noFill/>
          </a:ln>
          <a:effectLst/>
        </c:spPr>
      </c:pivotFmt>
      <c:pivotFmt>
        <c:idx val="58"/>
        <c:spPr>
          <a:solidFill>
            <a:schemeClr val="accent4">
              <a:lumMod val="75000"/>
            </a:schemeClr>
          </a:solidFill>
          <a:ln>
            <a:noFill/>
          </a:ln>
          <a:effectLst/>
        </c:spPr>
      </c:pivotFmt>
    </c:pivotFmts>
    <c:plotArea>
      <c:layout>
        <c:manualLayout>
          <c:layoutTarget val="inner"/>
          <c:xMode val="edge"/>
          <c:yMode val="edge"/>
          <c:x val="0.27415234742829175"/>
          <c:y val="0.22361925519423012"/>
          <c:w val="0.37653334575214126"/>
          <c:h val="0.73155215447127686"/>
        </c:manualLayout>
      </c:layout>
      <c:pieChart>
        <c:varyColors val="1"/>
        <c:ser>
          <c:idx val="0"/>
          <c:order val="0"/>
          <c:tx>
            <c:strRef>
              <c:f>'SALES BY REGION '!$B$3</c:f>
              <c:strCache>
                <c:ptCount val="1"/>
                <c:pt idx="0">
                  <c:v>Total</c:v>
                </c:pt>
              </c:strCache>
            </c:strRef>
          </c:tx>
          <c:spPr>
            <a:ln>
              <a:noFill/>
            </a:ln>
          </c:spPr>
          <c:dPt>
            <c:idx val="0"/>
            <c:bubble3D val="0"/>
            <c:spPr>
              <a:solidFill>
                <a:schemeClr val="tx2"/>
              </a:solidFill>
              <a:ln>
                <a:noFill/>
              </a:ln>
              <a:effectLst/>
            </c:spPr>
            <c:extLst>
              <c:ext xmlns:c16="http://schemas.microsoft.com/office/drawing/2014/chart" uri="{C3380CC4-5D6E-409C-BE32-E72D297353CC}">
                <c16:uniqueId val="{00000001-4E51-41D8-BE2B-EAB40A83BDC1}"/>
              </c:ext>
            </c:extLst>
          </c:dPt>
          <c:dPt>
            <c:idx val="1"/>
            <c:bubble3D val="0"/>
            <c:spPr>
              <a:solidFill>
                <a:schemeClr val="accent1"/>
              </a:solidFill>
              <a:ln>
                <a:noFill/>
              </a:ln>
              <a:effectLst/>
            </c:spPr>
            <c:extLst>
              <c:ext xmlns:c16="http://schemas.microsoft.com/office/drawing/2014/chart" uri="{C3380CC4-5D6E-409C-BE32-E72D297353CC}">
                <c16:uniqueId val="{00000003-4E51-41D8-BE2B-EAB40A83BDC1}"/>
              </c:ext>
            </c:extLst>
          </c:dPt>
          <c:dPt>
            <c:idx val="2"/>
            <c:bubble3D val="0"/>
            <c:spPr>
              <a:solidFill>
                <a:srgbClr val="00B0F0"/>
              </a:solidFill>
              <a:ln>
                <a:noFill/>
              </a:ln>
              <a:effectLst/>
            </c:spPr>
            <c:extLst>
              <c:ext xmlns:c16="http://schemas.microsoft.com/office/drawing/2014/chart" uri="{C3380CC4-5D6E-409C-BE32-E72D297353CC}">
                <c16:uniqueId val="{00000005-4E51-41D8-BE2B-EAB40A83BDC1}"/>
              </c:ext>
            </c:extLst>
          </c:dPt>
          <c:dPt>
            <c:idx val="3"/>
            <c:bubble3D val="0"/>
            <c:spPr>
              <a:solidFill>
                <a:schemeClr val="accent4">
                  <a:lumMod val="75000"/>
                </a:schemeClr>
              </a:solidFill>
              <a:ln>
                <a:noFill/>
              </a:ln>
              <a:effectLst/>
            </c:spPr>
            <c:extLst>
              <c:ext xmlns:c16="http://schemas.microsoft.com/office/drawing/2014/chart" uri="{C3380CC4-5D6E-409C-BE32-E72D297353CC}">
                <c16:uniqueId val="{00000007-4E51-41D8-BE2B-EAB40A83BDC1}"/>
              </c:ext>
            </c:extLst>
          </c:dPt>
          <c:dPt>
            <c:idx val="4"/>
            <c:bubble3D val="0"/>
            <c:spPr>
              <a:solidFill>
                <a:schemeClr val="accent5"/>
              </a:solidFill>
              <a:ln>
                <a:noFill/>
              </a:ln>
              <a:effectLst/>
            </c:spPr>
            <c:extLst>
              <c:ext xmlns:c16="http://schemas.microsoft.com/office/drawing/2014/chart" uri="{C3380CC4-5D6E-409C-BE32-E72D297353CC}">
                <c16:uniqueId val="{00000009-4E51-41D8-BE2B-EAB40A83BDC1}"/>
              </c:ext>
            </c:extLst>
          </c:dPt>
          <c:dPt>
            <c:idx val="5"/>
            <c:bubble3D val="0"/>
            <c:spPr>
              <a:solidFill>
                <a:schemeClr val="accent6"/>
              </a:solidFill>
              <a:ln>
                <a:noFill/>
              </a:ln>
              <a:effectLst/>
            </c:spPr>
            <c:extLst>
              <c:ext xmlns:c16="http://schemas.microsoft.com/office/drawing/2014/chart" uri="{C3380CC4-5D6E-409C-BE32-E72D297353CC}">
                <c16:uniqueId val="{0000000B-4E51-41D8-BE2B-EAB40A83BDC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E51-41D8-BE2B-EAB40A83BDC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E51-41D8-BE2B-EAB40A83BDC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4E51-41D8-BE2B-EAB40A83BDC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4E51-41D8-BE2B-EAB40A83B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'!$A$4:$A$8</c:f>
              <c:strCache>
                <c:ptCount val="4"/>
                <c:pt idx="0">
                  <c:v>North</c:v>
                </c:pt>
                <c:pt idx="1">
                  <c:v>East</c:v>
                </c:pt>
                <c:pt idx="2">
                  <c:v>South</c:v>
                </c:pt>
                <c:pt idx="3">
                  <c:v>West</c:v>
                </c:pt>
              </c:strCache>
            </c:strRef>
          </c:cat>
          <c:val>
            <c:numRef>
              <c:f>'SALES BY REGION '!$B$4:$B$8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2-4E51-41D8-BE2B-EAB40A83BDC1}"/>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31736508447070988"/>
          <c:y val="0.13454618650752859"/>
          <c:w val="0.2641752512183686"/>
          <c:h val="5.9953388795687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PRODUCT CATEGORY!PivotTable1</c:name>
    <c:fmtId val="18"/>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PRODUCT CATEGORY'!$B$3</c:f>
              <c:strCache>
                <c:ptCount val="1"/>
                <c:pt idx="0">
                  <c:v>Total</c:v>
                </c:pt>
              </c:strCache>
            </c:strRef>
          </c:tx>
          <c:spPr>
            <a:ln>
              <a:noFill/>
            </a:ln>
          </c:spPr>
          <c:dPt>
            <c:idx val="0"/>
            <c:bubble3D val="0"/>
            <c:spPr>
              <a:solidFill>
                <a:schemeClr val="accent1"/>
              </a:solidFill>
              <a:ln>
                <a:noFill/>
              </a:ln>
              <a:effectLst/>
            </c:spPr>
            <c:extLst>
              <c:ext xmlns:c16="http://schemas.microsoft.com/office/drawing/2014/chart" uri="{C3380CC4-5D6E-409C-BE32-E72D297353CC}">
                <c16:uniqueId val="{00000001-573D-43A0-8BC9-AE46A1EC7E55}"/>
              </c:ext>
            </c:extLst>
          </c:dPt>
          <c:dPt>
            <c:idx val="1"/>
            <c:bubble3D val="0"/>
            <c:spPr>
              <a:solidFill>
                <a:schemeClr val="accent2"/>
              </a:solidFill>
              <a:ln>
                <a:noFill/>
              </a:ln>
              <a:effectLst/>
            </c:spPr>
            <c:extLst>
              <c:ext xmlns:c16="http://schemas.microsoft.com/office/drawing/2014/chart" uri="{C3380CC4-5D6E-409C-BE32-E72D297353CC}">
                <c16:uniqueId val="{00000003-573D-43A0-8BC9-AE46A1EC7E55}"/>
              </c:ext>
            </c:extLst>
          </c:dPt>
          <c:dPt>
            <c:idx val="2"/>
            <c:bubble3D val="0"/>
            <c:spPr>
              <a:solidFill>
                <a:schemeClr val="accent3"/>
              </a:solidFill>
              <a:ln>
                <a:noFill/>
              </a:ln>
              <a:effectLst/>
            </c:spPr>
            <c:extLst>
              <c:ext xmlns:c16="http://schemas.microsoft.com/office/drawing/2014/chart" uri="{C3380CC4-5D6E-409C-BE32-E72D297353CC}">
                <c16:uniqueId val="{00000005-573D-43A0-8BC9-AE46A1EC7E55}"/>
              </c:ext>
            </c:extLst>
          </c:dPt>
          <c:dPt>
            <c:idx val="3"/>
            <c:bubble3D val="0"/>
            <c:spPr>
              <a:solidFill>
                <a:schemeClr val="accent4"/>
              </a:solidFill>
              <a:ln>
                <a:noFill/>
              </a:ln>
              <a:effectLst/>
            </c:spPr>
            <c:extLst>
              <c:ext xmlns:c16="http://schemas.microsoft.com/office/drawing/2014/chart" uri="{C3380CC4-5D6E-409C-BE32-E72D297353CC}">
                <c16:uniqueId val="{00000007-573D-43A0-8BC9-AE46A1EC7E55}"/>
              </c:ext>
            </c:extLst>
          </c:dPt>
          <c:dPt>
            <c:idx val="4"/>
            <c:bubble3D val="0"/>
            <c:spPr>
              <a:solidFill>
                <a:schemeClr val="accent5"/>
              </a:solidFill>
              <a:ln>
                <a:noFill/>
              </a:ln>
              <a:effectLst/>
            </c:spPr>
            <c:extLst>
              <c:ext xmlns:c16="http://schemas.microsoft.com/office/drawing/2014/chart" uri="{C3380CC4-5D6E-409C-BE32-E72D297353CC}">
                <c16:uniqueId val="{00000009-573D-43A0-8BC9-AE46A1EC7E55}"/>
              </c:ext>
            </c:extLst>
          </c:dPt>
          <c:dPt>
            <c:idx val="5"/>
            <c:bubble3D val="0"/>
            <c:spPr>
              <a:solidFill>
                <a:schemeClr val="accent6"/>
              </a:solidFill>
              <a:ln>
                <a:noFill/>
              </a:ln>
              <a:effectLst/>
            </c:spPr>
            <c:extLst>
              <c:ext xmlns:c16="http://schemas.microsoft.com/office/drawing/2014/chart" uri="{C3380CC4-5D6E-409C-BE32-E72D297353CC}">
                <c16:uniqueId val="{0000000B-573D-43A0-8BC9-AE46A1EC7E5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73D-43A0-8BC9-AE46A1EC7E5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73D-43A0-8BC9-AE46A1EC7E5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73D-43A0-8BC9-AE46A1EC7E5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73D-43A0-8BC9-AE46A1EC7E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573D-43A0-8BC9-AE46A1EC7E55}"/>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PRODUCT CATEGORY!PivotTable1</c:name>
    <c:fmtId val="19"/>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pivotFmt>
      <c:pivotFmt>
        <c:idx val="46"/>
        <c:spPr>
          <a:solidFill>
            <a:schemeClr val="accent2"/>
          </a:solidFill>
          <a:ln>
            <a:noFill/>
          </a:ln>
          <a:effectLst/>
        </c:spPr>
      </c:pivotFmt>
      <c:pivotFmt>
        <c:idx val="47"/>
        <c:spPr>
          <a:solidFill>
            <a:schemeClr val="accent3"/>
          </a:solidFill>
          <a:ln>
            <a:noFill/>
          </a:ln>
          <a:effectLst/>
        </c:spPr>
      </c:pivotFmt>
      <c:pivotFmt>
        <c:idx val="48"/>
        <c:spPr>
          <a:solidFill>
            <a:schemeClr val="accent4"/>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PRODUCT CATEGORY'!$B$3</c:f>
              <c:strCache>
                <c:ptCount val="1"/>
                <c:pt idx="0">
                  <c:v>Total</c:v>
                </c:pt>
              </c:strCache>
            </c:strRef>
          </c:tx>
          <c:spPr>
            <a:ln>
              <a:noFill/>
            </a:ln>
          </c:spPr>
          <c:dPt>
            <c:idx val="0"/>
            <c:bubble3D val="0"/>
            <c:spPr>
              <a:solidFill>
                <a:schemeClr val="accent1"/>
              </a:solidFill>
              <a:ln>
                <a:noFill/>
              </a:ln>
              <a:effectLst/>
            </c:spPr>
            <c:extLst>
              <c:ext xmlns:c16="http://schemas.microsoft.com/office/drawing/2014/chart" uri="{C3380CC4-5D6E-409C-BE32-E72D297353CC}">
                <c16:uniqueId val="{00000001-A64D-4EB2-AE20-2A27830C3401}"/>
              </c:ext>
            </c:extLst>
          </c:dPt>
          <c:dPt>
            <c:idx val="1"/>
            <c:bubble3D val="0"/>
            <c:spPr>
              <a:solidFill>
                <a:schemeClr val="accent2"/>
              </a:solidFill>
              <a:ln>
                <a:noFill/>
              </a:ln>
              <a:effectLst/>
            </c:spPr>
            <c:extLst>
              <c:ext xmlns:c16="http://schemas.microsoft.com/office/drawing/2014/chart" uri="{C3380CC4-5D6E-409C-BE32-E72D297353CC}">
                <c16:uniqueId val="{00000003-A64D-4EB2-AE20-2A27830C3401}"/>
              </c:ext>
            </c:extLst>
          </c:dPt>
          <c:dPt>
            <c:idx val="2"/>
            <c:bubble3D val="0"/>
            <c:spPr>
              <a:solidFill>
                <a:schemeClr val="accent3"/>
              </a:solidFill>
              <a:ln>
                <a:noFill/>
              </a:ln>
              <a:effectLst/>
            </c:spPr>
            <c:extLst>
              <c:ext xmlns:c16="http://schemas.microsoft.com/office/drawing/2014/chart" uri="{C3380CC4-5D6E-409C-BE32-E72D297353CC}">
                <c16:uniqueId val="{00000005-A64D-4EB2-AE20-2A27830C3401}"/>
              </c:ext>
            </c:extLst>
          </c:dPt>
          <c:dPt>
            <c:idx val="3"/>
            <c:bubble3D val="0"/>
            <c:spPr>
              <a:solidFill>
                <a:schemeClr val="accent4"/>
              </a:solidFill>
              <a:ln>
                <a:noFill/>
              </a:ln>
              <a:effectLst/>
            </c:spPr>
            <c:extLst>
              <c:ext xmlns:c16="http://schemas.microsoft.com/office/drawing/2014/chart" uri="{C3380CC4-5D6E-409C-BE32-E72D297353CC}">
                <c16:uniqueId val="{00000007-A64D-4EB2-AE20-2A27830C3401}"/>
              </c:ext>
            </c:extLst>
          </c:dPt>
          <c:dPt>
            <c:idx val="4"/>
            <c:bubble3D val="0"/>
            <c:spPr>
              <a:solidFill>
                <a:schemeClr val="accent5"/>
              </a:solidFill>
              <a:ln>
                <a:noFill/>
              </a:ln>
              <a:effectLst/>
            </c:spPr>
            <c:extLst>
              <c:ext xmlns:c16="http://schemas.microsoft.com/office/drawing/2014/chart" uri="{C3380CC4-5D6E-409C-BE32-E72D297353CC}">
                <c16:uniqueId val="{00000009-A64D-4EB2-AE20-2A27830C3401}"/>
              </c:ext>
            </c:extLst>
          </c:dPt>
          <c:dPt>
            <c:idx val="5"/>
            <c:bubble3D val="0"/>
            <c:spPr>
              <a:solidFill>
                <a:schemeClr val="accent6"/>
              </a:solidFill>
              <a:ln>
                <a:noFill/>
              </a:ln>
              <a:effectLst/>
            </c:spPr>
            <c:extLst>
              <c:ext xmlns:c16="http://schemas.microsoft.com/office/drawing/2014/chart" uri="{C3380CC4-5D6E-409C-BE32-E72D297353CC}">
                <c16:uniqueId val="{0000000B-A64D-4EB2-AE20-2A27830C340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64D-4EB2-AE20-2A27830C340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64D-4EB2-AE20-2A27830C340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64D-4EB2-AE20-2A27830C340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64D-4EB2-AE20-2A27830C34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A64D-4EB2-AE20-2A27830C3401}"/>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PRODUCT CATEGORY!PivotTable1</c:name>
    <c:fmtId val="20"/>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1373441601049864"/>
          <c:y val="5.45457512868359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solidFill>
          <a:ln>
            <a:noFill/>
          </a:ln>
          <a:effectLst/>
        </c:spPr>
      </c:pivotFmt>
      <c:pivotFmt>
        <c:idx val="56"/>
        <c:spPr>
          <a:solidFill>
            <a:schemeClr val="accent1"/>
          </a:solidFill>
          <a:ln>
            <a:noFill/>
          </a:ln>
          <a:effectLst/>
        </c:spPr>
      </c:pivotFmt>
      <c:pivotFmt>
        <c:idx val="57"/>
        <c:spPr>
          <a:solidFill>
            <a:srgbClr val="00B0F0"/>
          </a:solidFill>
          <a:ln>
            <a:noFill/>
          </a:ln>
          <a:effectLst/>
        </c:spPr>
      </c:pivotFmt>
      <c:pivotFmt>
        <c:idx val="58"/>
        <c:spPr>
          <a:solidFill>
            <a:schemeClr val="accent4">
              <a:lumMod val="75000"/>
            </a:schemeClr>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s>
    <c:plotArea>
      <c:layout>
        <c:manualLayout>
          <c:layoutTarget val="inner"/>
          <c:xMode val="edge"/>
          <c:yMode val="edge"/>
          <c:x val="0.11259810944280867"/>
          <c:y val="0.17853669067920483"/>
          <c:w val="0.37653334575214126"/>
          <c:h val="0.73155215447127686"/>
        </c:manualLayout>
      </c:layout>
      <c:pieChart>
        <c:varyColors val="1"/>
        <c:ser>
          <c:idx val="0"/>
          <c:order val="0"/>
          <c:tx>
            <c:strRef>
              <c:f>'SALES BY PRODUCT CATEGORY'!$B$3</c:f>
              <c:strCache>
                <c:ptCount val="1"/>
                <c:pt idx="0">
                  <c:v>Total</c:v>
                </c:pt>
              </c:strCache>
            </c:strRef>
          </c:tx>
          <c:spPr>
            <a:ln>
              <a:noFill/>
            </a:ln>
          </c:spPr>
          <c:dPt>
            <c:idx val="0"/>
            <c:bubble3D val="0"/>
            <c:spPr>
              <a:solidFill>
                <a:schemeClr val="accent1"/>
              </a:solidFill>
              <a:ln>
                <a:noFill/>
              </a:ln>
              <a:effectLst/>
            </c:spPr>
            <c:extLst>
              <c:ext xmlns:c16="http://schemas.microsoft.com/office/drawing/2014/chart" uri="{C3380CC4-5D6E-409C-BE32-E72D297353CC}">
                <c16:uniqueId val="{00000001-D5AC-4360-8501-00ADC1AFC87C}"/>
              </c:ext>
            </c:extLst>
          </c:dPt>
          <c:dPt>
            <c:idx val="1"/>
            <c:bubble3D val="0"/>
            <c:spPr>
              <a:solidFill>
                <a:schemeClr val="accent2"/>
              </a:solidFill>
              <a:ln>
                <a:noFill/>
              </a:ln>
              <a:effectLst/>
            </c:spPr>
            <c:extLst>
              <c:ext xmlns:c16="http://schemas.microsoft.com/office/drawing/2014/chart" uri="{C3380CC4-5D6E-409C-BE32-E72D297353CC}">
                <c16:uniqueId val="{00000003-D5AC-4360-8501-00ADC1AFC87C}"/>
              </c:ext>
            </c:extLst>
          </c:dPt>
          <c:dPt>
            <c:idx val="2"/>
            <c:bubble3D val="0"/>
            <c:spPr>
              <a:solidFill>
                <a:schemeClr val="accent3"/>
              </a:solidFill>
              <a:ln>
                <a:noFill/>
              </a:ln>
              <a:effectLst/>
            </c:spPr>
            <c:extLst>
              <c:ext xmlns:c16="http://schemas.microsoft.com/office/drawing/2014/chart" uri="{C3380CC4-5D6E-409C-BE32-E72D297353CC}">
                <c16:uniqueId val="{00000005-D5AC-4360-8501-00ADC1AFC87C}"/>
              </c:ext>
            </c:extLst>
          </c:dPt>
          <c:dPt>
            <c:idx val="3"/>
            <c:bubble3D val="0"/>
            <c:spPr>
              <a:solidFill>
                <a:schemeClr val="accent4"/>
              </a:solidFill>
              <a:ln>
                <a:noFill/>
              </a:ln>
              <a:effectLst/>
            </c:spPr>
            <c:extLst>
              <c:ext xmlns:c16="http://schemas.microsoft.com/office/drawing/2014/chart" uri="{C3380CC4-5D6E-409C-BE32-E72D297353CC}">
                <c16:uniqueId val="{00000007-D5AC-4360-8501-00ADC1AFC87C}"/>
              </c:ext>
            </c:extLst>
          </c:dPt>
          <c:dPt>
            <c:idx val="4"/>
            <c:bubble3D val="0"/>
            <c:spPr>
              <a:solidFill>
                <a:schemeClr val="accent5"/>
              </a:solidFill>
              <a:ln>
                <a:noFill/>
              </a:ln>
              <a:effectLst/>
            </c:spPr>
            <c:extLst>
              <c:ext xmlns:c16="http://schemas.microsoft.com/office/drawing/2014/chart" uri="{C3380CC4-5D6E-409C-BE32-E72D297353CC}">
                <c16:uniqueId val="{00000009-D5AC-4360-8501-00ADC1AFC87C}"/>
              </c:ext>
            </c:extLst>
          </c:dPt>
          <c:dPt>
            <c:idx val="5"/>
            <c:bubble3D val="0"/>
            <c:spPr>
              <a:solidFill>
                <a:schemeClr val="accent6"/>
              </a:solidFill>
              <a:ln>
                <a:noFill/>
              </a:ln>
              <a:effectLst/>
            </c:spPr>
            <c:extLst>
              <c:ext xmlns:c16="http://schemas.microsoft.com/office/drawing/2014/chart" uri="{C3380CC4-5D6E-409C-BE32-E72D297353CC}">
                <c16:uniqueId val="{0000000B-D5AC-4360-8501-00ADC1AFC87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5AC-4360-8501-00ADC1AFC87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D5AC-4360-8501-00ADC1AFC87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D5AC-4360-8501-00ADC1AFC87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D5AC-4360-8501-00ADC1AFC8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D5AC-4360-8501-00ADC1AFC87C}"/>
            </c:ext>
          </c:extLst>
        </c:ser>
        <c:dLbls>
          <c:showLegendKey val="0"/>
          <c:showVal val="0"/>
          <c:showCatName val="0"/>
          <c:showSerName val="0"/>
          <c:showPercent val="0"/>
          <c:showBubbleSize val="0"/>
          <c:showLeaderLines val="1"/>
        </c:dLbls>
        <c:firstSliceAng val="0"/>
      </c:pieChart>
      <c:spPr>
        <a:noFill/>
        <a:ln w="25400">
          <a:solidFill>
            <a:schemeClr val="bg1"/>
          </a:solid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PRODUCT CATEGORY!PivotTable1</c:name>
    <c:fmtId val="21"/>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36182582366476179"/>
          <c:y val="0"/>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solidFill>
          <a:ln>
            <a:noFill/>
          </a:ln>
          <a:effectLst/>
        </c:spPr>
      </c:pivotFmt>
      <c:pivotFmt>
        <c:idx val="56"/>
        <c:spPr>
          <a:solidFill>
            <a:schemeClr val="accent1"/>
          </a:solidFill>
          <a:ln>
            <a:noFill/>
          </a:ln>
          <a:effectLst/>
        </c:spPr>
      </c:pivotFmt>
      <c:pivotFmt>
        <c:idx val="57"/>
        <c:spPr>
          <a:solidFill>
            <a:srgbClr val="00B0F0"/>
          </a:solidFill>
          <a:ln>
            <a:noFill/>
          </a:ln>
          <a:effectLst/>
        </c:spPr>
      </c:pivotFmt>
      <c:pivotFmt>
        <c:idx val="58"/>
        <c:spPr>
          <a:solidFill>
            <a:schemeClr val="accent4">
              <a:lumMod val="75000"/>
            </a:schemeClr>
          </a:solidFill>
          <a:ln>
            <a:noFill/>
          </a:ln>
          <a:effectLst/>
        </c:spPr>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tx2"/>
          </a:solidFill>
          <a:ln>
            <a:noFill/>
          </a:ln>
          <a:effectLst/>
        </c:spPr>
      </c:pivotFmt>
      <c:pivotFmt>
        <c:idx val="61"/>
        <c:spPr>
          <a:solidFill>
            <a:schemeClr val="accent1"/>
          </a:solidFill>
          <a:ln>
            <a:noFill/>
          </a:ln>
          <a:effectLst/>
        </c:spPr>
      </c:pivotFmt>
      <c:pivotFmt>
        <c:idx val="62"/>
        <c:spPr>
          <a:solidFill>
            <a:srgbClr val="00B0F0"/>
          </a:solidFill>
          <a:ln>
            <a:noFill/>
          </a:ln>
          <a:effectLst/>
        </c:spPr>
      </c:pivotFmt>
      <c:pivotFmt>
        <c:idx val="63"/>
        <c:spPr>
          <a:solidFill>
            <a:schemeClr val="accent4">
              <a:lumMod val="75000"/>
            </a:schemeClr>
          </a:solidFill>
          <a:ln>
            <a:noFill/>
          </a:ln>
          <a:effectLst/>
        </c:spPr>
      </c:pivotFmt>
      <c:pivotFmt>
        <c:idx val="64"/>
        <c:spPr>
          <a:solidFill>
            <a:schemeClr val="tx1"/>
          </a:solidFill>
          <a:ln>
            <a:noFill/>
          </a:ln>
          <a:effectLst/>
        </c:spPr>
      </c:pivotFmt>
      <c:pivotFmt>
        <c:idx val="65"/>
        <c:spPr>
          <a:solidFill>
            <a:schemeClr val="tx2">
              <a:lumMod val="75000"/>
            </a:schemeClr>
          </a:solidFill>
          <a:ln>
            <a:noFill/>
          </a:ln>
          <a:effectLst/>
        </c:spPr>
      </c:pivotFmt>
      <c:pivotFmt>
        <c:idx val="66"/>
        <c:spPr>
          <a:solidFill>
            <a:schemeClr val="tx1">
              <a:lumMod val="65000"/>
              <a:lumOff val="35000"/>
            </a:schemeClr>
          </a:solidFill>
          <a:ln>
            <a:noFill/>
          </a:ln>
          <a:effectLst/>
        </c:spPr>
      </c:pivotFmt>
      <c:pivotFmt>
        <c:idx val="67"/>
        <c:spPr>
          <a:solidFill>
            <a:schemeClr val="tx2">
              <a:lumMod val="60000"/>
              <a:lumOff val="40000"/>
            </a:schemeClr>
          </a:solidFill>
          <a:ln>
            <a:noFill/>
          </a:ln>
          <a:effectLst/>
        </c:spPr>
      </c:pivotFmt>
      <c:pivotFmt>
        <c:idx val="68"/>
        <c:spPr>
          <a:solidFill>
            <a:schemeClr val="tx2">
              <a:lumMod val="40000"/>
              <a:lumOff val="60000"/>
            </a:schemeClr>
          </a:solidFill>
          <a:ln>
            <a:noFill/>
          </a:ln>
          <a:effectLst/>
        </c:spPr>
      </c:pivotFmt>
    </c:pivotFmts>
    <c:plotArea>
      <c:layout>
        <c:manualLayout>
          <c:layoutTarget val="inner"/>
          <c:xMode val="edge"/>
          <c:yMode val="edge"/>
          <c:x val="0.27415234742829175"/>
          <c:y val="0.22361925519423012"/>
          <c:w val="0.37653334575214126"/>
          <c:h val="0.73155215447127686"/>
        </c:manualLayout>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7C5E-43A9-8BBD-758CBA03D9B3}"/>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7C5E-43A9-8BBD-758CBA03D9B3}"/>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2-7C5E-43A9-8BBD-758CBA03D9B3}"/>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7C5E-43A9-8BBD-758CBA03D9B3}"/>
              </c:ext>
            </c:extLst>
          </c:dPt>
          <c:dPt>
            <c:idx val="4"/>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4-7C5E-43A9-8BBD-758CBA03D9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4E51-43AE-98CC-490205531CB1}"/>
            </c:ext>
          </c:extLst>
        </c:ser>
        <c:dLbls>
          <c:showLegendKey val="0"/>
          <c:showVal val="0"/>
          <c:showCatName val="0"/>
          <c:showSerName val="0"/>
          <c:showPercent val="0"/>
          <c:showBubbleSize val="0"/>
        </c:dLbls>
        <c:gapWidth val="70"/>
        <c:axId val="588955168"/>
        <c:axId val="588949888"/>
      </c:barChart>
      <c:catAx>
        <c:axId val="58895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9888"/>
        <c:crosses val="autoZero"/>
        <c:auto val="1"/>
        <c:lblAlgn val="ctr"/>
        <c:lblOffset val="100"/>
        <c:noMultiLvlLbl val="0"/>
      </c:catAx>
      <c:valAx>
        <c:axId val="588949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55168"/>
        <c:crosses val="autoZero"/>
        <c:crossBetween val="between"/>
      </c:valAx>
      <c:spPr>
        <a:noFill/>
        <a:ln>
          <a:noFill/>
        </a:ln>
        <a:effectLst/>
      </c:spPr>
    </c:plotArea>
    <c:legend>
      <c:legendPos val="t"/>
      <c:layout>
        <c:manualLayout>
          <c:xMode val="edge"/>
          <c:yMode val="edge"/>
          <c:x val="0.1722172414705081"/>
          <c:y val="8.5785260714241321E-2"/>
          <c:w val="0.65556536847838909"/>
          <c:h val="5.44740458382395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Godswill.xlsx]TRANSACTION BY AMOUNT!PivotTable1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850F-4BF5-8222-975D5150E543}"/>
            </c:ext>
          </c:extLst>
        </c:ser>
        <c:dLbls>
          <c:dLblPos val="outEnd"/>
          <c:showLegendKey val="0"/>
          <c:showVal val="1"/>
          <c:showCatName val="0"/>
          <c:showSerName val="0"/>
          <c:showPercent val="0"/>
          <c:showBubbleSize val="0"/>
        </c:dLbls>
        <c:gapWidth val="100"/>
        <c:overlap val="10"/>
        <c:axId val="493893471"/>
        <c:axId val="493901631"/>
      </c:barChart>
      <c:catAx>
        <c:axId val="493893471"/>
        <c:scaling>
          <c:orientation val="minMax"/>
        </c:scaling>
        <c:delete val="1"/>
        <c:axPos val="b"/>
        <c:numFmt formatCode="General" sourceLinked="1"/>
        <c:majorTickMark val="none"/>
        <c:minorTickMark val="none"/>
        <c:tickLblPos val="nextTo"/>
        <c:crossAx val="493901631"/>
        <c:crosses val="autoZero"/>
        <c:auto val="1"/>
        <c:lblAlgn val="ctr"/>
        <c:lblOffset val="100"/>
        <c:noMultiLvlLbl val="0"/>
      </c:catAx>
      <c:valAx>
        <c:axId val="493901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38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REP!PivotTable1</c:name>
    <c:fmtId val="9"/>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sz="1900" b="1">
                <a:solidFill>
                  <a:srgbClr val="176F41"/>
                </a:solidFill>
              </a:rPr>
              <a:t>Salesperson Outlook </a:t>
            </a:r>
            <a:r>
              <a:rPr lang="en-US" sz="1600" b="1">
                <a:solidFill>
                  <a:srgbClr val="176F41"/>
                </a:solidFill>
              </a:rPr>
              <a:t>by Revenue</a:t>
            </a:r>
          </a:p>
        </c:rich>
      </c:tx>
      <c:layout>
        <c:manualLayout>
          <c:xMode val="edge"/>
          <c:yMode val="edge"/>
          <c:x val="2.7694891539806377E-3"/>
          <c:y val="1.668681347558732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rgbClr val="00B050"/>
          </a:solidFill>
          <a:ln>
            <a:noFill/>
          </a:ln>
          <a:effectLst>
            <a:outerShdw blurRad="50800" dist="25400" dir="5400000" sx="3000" sy="3000" algn="ctr" rotWithShape="0">
              <a:srgbClr val="000000">
                <a:alpha val="73000"/>
              </a:srgbClr>
            </a:outerShdw>
          </a:effectLst>
        </c:spPr>
        <c:marker>
          <c:symbol val="none"/>
        </c:marker>
        <c:dLbl>
          <c:idx val="0"/>
          <c:spPr>
            <a:noFill/>
            <a:ln>
              <a:noFill/>
            </a:ln>
            <a:effectLst/>
          </c:spPr>
          <c:txPr>
            <a:bodyPr rot="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79E3AB"/>
          </a:solidFill>
          <a:ln>
            <a:noFill/>
          </a:ln>
          <a:effectLst>
            <a:outerShdw blurRad="50800" dist="25400" dir="5400000" sx="3000" sy="3000" algn="ctr" rotWithShape="0">
              <a:srgbClr val="000000">
                <a:alpha val="73000"/>
              </a:srgbClr>
            </a:outerShdw>
          </a:effectLst>
        </c:spPr>
      </c:pivotFmt>
      <c:pivotFmt>
        <c:idx val="42"/>
        <c:spPr>
          <a:solidFill>
            <a:srgbClr val="2DD37C"/>
          </a:solidFill>
          <a:ln>
            <a:noFill/>
          </a:ln>
          <a:effectLst>
            <a:outerShdw blurRad="50800" dist="25400" dir="5400000" sx="3000" sy="3000" algn="ctr" rotWithShape="0">
              <a:srgbClr val="000000">
                <a:alpha val="73000"/>
              </a:srgbClr>
            </a:outerShdw>
          </a:effectLst>
        </c:spPr>
      </c:pivotFmt>
      <c:pivotFmt>
        <c:idx val="43"/>
        <c:spPr>
          <a:solidFill>
            <a:srgbClr val="2DD37C"/>
          </a:solidFill>
          <a:ln>
            <a:noFill/>
          </a:ln>
          <a:effectLst>
            <a:outerShdw blurRad="50800" dist="25400" dir="5400000" sx="3000" sy="3000" algn="ctr" rotWithShape="0">
              <a:srgbClr val="000000">
                <a:alpha val="73000"/>
              </a:srgbClr>
            </a:outerShdw>
          </a:effectLst>
        </c:spPr>
      </c:pivotFmt>
      <c:pivotFmt>
        <c:idx val="44"/>
        <c:spPr>
          <a:solidFill>
            <a:srgbClr val="2DD37C"/>
          </a:solidFill>
          <a:ln>
            <a:noFill/>
          </a:ln>
          <a:effectLst>
            <a:outerShdw blurRad="50800" dist="25400" dir="5400000" sx="3000" sy="3000" algn="ctr" rotWithShape="0">
              <a:srgbClr val="000000">
                <a:alpha val="73000"/>
              </a:srgbClr>
            </a:outerShdw>
          </a:effectLst>
        </c:spPr>
      </c:pivotFmt>
      <c:pivotFmt>
        <c:idx val="45"/>
        <c:spPr>
          <a:solidFill>
            <a:srgbClr val="23A963"/>
          </a:solidFill>
          <a:ln>
            <a:noFill/>
          </a:ln>
          <a:effectLst>
            <a:outerShdw blurRad="50800" dist="25400" dir="5400000" sx="3000" sy="3000" algn="ctr" rotWithShape="0">
              <a:srgbClr val="000000">
                <a:alpha val="73000"/>
              </a:srgbClr>
            </a:outerShdw>
          </a:effectLst>
        </c:spPr>
      </c:pivotFmt>
      <c:pivotFmt>
        <c:idx val="46"/>
        <c:spPr>
          <a:solidFill>
            <a:srgbClr val="23A963"/>
          </a:solidFill>
          <a:ln>
            <a:noFill/>
          </a:ln>
          <a:effectLst>
            <a:outerShdw blurRad="50800" dist="25400" dir="5400000" sx="3000" sy="3000" algn="ctr" rotWithShape="0">
              <a:srgbClr val="000000">
                <a:alpha val="73000"/>
              </a:srgbClr>
            </a:outerShdw>
          </a:effectLst>
        </c:spPr>
      </c:pivotFmt>
      <c:pivotFmt>
        <c:idx val="47"/>
        <c:spPr>
          <a:solidFill>
            <a:srgbClr val="23A963"/>
          </a:solidFill>
          <a:ln>
            <a:noFill/>
          </a:ln>
          <a:effectLst>
            <a:outerShdw blurRad="50800" dist="25400" dir="5400000" sx="3000" sy="3000" algn="ctr" rotWithShape="0">
              <a:srgbClr val="000000">
                <a:alpha val="73000"/>
              </a:srgbClr>
            </a:outerShdw>
          </a:effectLst>
        </c:spPr>
      </c:pivotFmt>
      <c:pivotFmt>
        <c:idx val="48"/>
        <c:spPr>
          <a:solidFill>
            <a:srgbClr val="176F41"/>
          </a:solidFill>
          <a:ln>
            <a:noFill/>
          </a:ln>
          <a:effectLst>
            <a:outerShdw blurRad="50800" dist="25400" dir="5400000" sx="3000" sy="3000" algn="ctr" rotWithShape="0">
              <a:srgbClr val="000000">
                <a:alpha val="73000"/>
              </a:srgbClr>
            </a:outerShdw>
          </a:effectLst>
        </c:spPr>
      </c:pivotFmt>
    </c:pivotFmts>
    <c:plotArea>
      <c:layout>
        <c:manualLayout>
          <c:layoutTarget val="inner"/>
          <c:xMode val="edge"/>
          <c:yMode val="edge"/>
          <c:x val="0.13671131623005597"/>
          <c:y val="0.18920657201178595"/>
          <c:w val="0.59147138677473332"/>
          <c:h val="0.75636528834274241"/>
        </c:manualLayout>
      </c:layout>
      <c:barChart>
        <c:barDir val="bar"/>
        <c:grouping val="clustered"/>
        <c:varyColors val="0"/>
        <c:ser>
          <c:idx val="0"/>
          <c:order val="0"/>
          <c:tx>
            <c:strRef>
              <c:f>'SALES BY REP'!$B$3</c:f>
              <c:strCache>
                <c:ptCount val="1"/>
                <c:pt idx="0">
                  <c:v>Total</c:v>
                </c:pt>
              </c:strCache>
            </c:strRef>
          </c:tx>
          <c:spPr>
            <a:solidFill>
              <a:srgbClr val="00B050"/>
            </a:solidFill>
            <a:ln>
              <a:noFill/>
            </a:ln>
            <a:effectLst>
              <a:outerShdw blurRad="50800" dist="25400" dir="5400000" sx="3000" sy="3000" algn="ctr" rotWithShape="0">
                <a:srgbClr val="000000">
                  <a:alpha val="73000"/>
                </a:srgbClr>
              </a:outerShdw>
            </a:effectLst>
          </c:spPr>
          <c:invertIfNegative val="0"/>
          <c:dPt>
            <c:idx val="0"/>
            <c:invertIfNegative val="0"/>
            <c:bubble3D val="0"/>
            <c:spPr>
              <a:solidFill>
                <a:srgbClr val="79E3AB"/>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1-18D8-41B3-94C1-925F58A52CCD}"/>
              </c:ext>
            </c:extLst>
          </c:dPt>
          <c:dPt>
            <c:idx val="1"/>
            <c:invertIfNegative val="0"/>
            <c:bubble3D val="0"/>
            <c:spPr>
              <a:solidFill>
                <a:srgbClr val="2DD37C"/>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3-18D8-41B3-94C1-925F58A52CCD}"/>
              </c:ext>
            </c:extLst>
          </c:dPt>
          <c:dPt>
            <c:idx val="2"/>
            <c:invertIfNegative val="0"/>
            <c:bubble3D val="0"/>
            <c:spPr>
              <a:solidFill>
                <a:srgbClr val="2DD37C"/>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5-18D8-41B3-94C1-925F58A52CCD}"/>
              </c:ext>
            </c:extLst>
          </c:dPt>
          <c:dPt>
            <c:idx val="3"/>
            <c:invertIfNegative val="0"/>
            <c:bubble3D val="0"/>
            <c:spPr>
              <a:solidFill>
                <a:srgbClr val="2DD37C"/>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7-18D8-41B3-94C1-925F58A52CCD}"/>
              </c:ext>
            </c:extLst>
          </c:dPt>
          <c:dPt>
            <c:idx val="4"/>
            <c:invertIfNegative val="0"/>
            <c:bubble3D val="0"/>
            <c:spPr>
              <a:solidFill>
                <a:srgbClr val="23A963"/>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9-18D8-41B3-94C1-925F58A52CCD}"/>
              </c:ext>
            </c:extLst>
          </c:dPt>
          <c:dPt>
            <c:idx val="5"/>
            <c:invertIfNegative val="0"/>
            <c:bubble3D val="0"/>
            <c:spPr>
              <a:solidFill>
                <a:srgbClr val="23A963"/>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B-18D8-41B3-94C1-925F58A52CCD}"/>
              </c:ext>
            </c:extLst>
          </c:dPt>
          <c:dPt>
            <c:idx val="6"/>
            <c:invertIfNegative val="0"/>
            <c:bubble3D val="0"/>
            <c:spPr>
              <a:solidFill>
                <a:srgbClr val="23A963"/>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D-18D8-41B3-94C1-925F58A52CCD}"/>
              </c:ext>
            </c:extLst>
          </c:dPt>
          <c:dPt>
            <c:idx val="7"/>
            <c:invertIfNegative val="0"/>
            <c:bubble3D val="0"/>
            <c:spPr>
              <a:solidFill>
                <a:srgbClr val="176F41"/>
              </a:solidFill>
              <a:ln>
                <a:noFill/>
              </a:ln>
              <a:effectLst>
                <a:outerShdw blurRad="50800" dist="25400" dir="5400000" sx="3000" sy="3000" algn="ctr" rotWithShape="0">
                  <a:srgbClr val="000000">
                    <a:alpha val="73000"/>
                  </a:srgbClr>
                </a:outerShdw>
              </a:effectLst>
            </c:spPr>
            <c:extLst>
              <c:ext xmlns:c16="http://schemas.microsoft.com/office/drawing/2014/chart" uri="{C3380CC4-5D6E-409C-BE32-E72D297353CC}">
                <c16:uniqueId val="{0000000F-18D8-41B3-94C1-925F58A52CCD}"/>
              </c:ext>
            </c:extLst>
          </c:dPt>
          <c:dLbls>
            <c:spPr>
              <a:noFill/>
              <a:ln>
                <a:noFill/>
              </a:ln>
              <a:effectLst/>
            </c:spPr>
            <c:txPr>
              <a:bodyPr rot="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2-B4FE-4497-B74A-BF3D50AB1B66}"/>
            </c:ext>
          </c:extLst>
        </c:ser>
        <c:dLbls>
          <c:dLblPos val="outEnd"/>
          <c:showLegendKey val="0"/>
          <c:showVal val="1"/>
          <c:showCatName val="0"/>
          <c:showSerName val="0"/>
          <c:showPercent val="0"/>
          <c:showBubbleSize val="0"/>
        </c:dLbls>
        <c:gapWidth val="13"/>
        <c:overlap val="80"/>
        <c:axId val="1257075776"/>
        <c:axId val="1257088736"/>
      </c:barChart>
      <c:catAx>
        <c:axId val="1257075776"/>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 spcFirstLastPara="1" vertOverflow="ellipsis" wrap="square" anchor="ctr" anchorCtr="1"/>
          <a:lstStyle/>
          <a:p>
            <a:pPr>
              <a:defRPr sz="1150" b="1" i="0" u="none" strike="noStrike" kern="1200" baseline="0">
                <a:solidFill>
                  <a:schemeClr val="tx1"/>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1"/>
        <c:axPos val="b"/>
        <c:numFmt formatCode="&quot;$&quot;#,##0.00" sourceLinked="1"/>
        <c:majorTickMark val="out"/>
        <c:minorTickMark val="none"/>
        <c:tickLblPos val="nextTo"/>
        <c:crossAx val="1257075776"/>
        <c:crosses val="autoZero"/>
        <c:crossBetween val="between"/>
      </c:valAx>
      <c:spPr>
        <a:noFill/>
        <a:ln w="25400">
          <a:noFill/>
        </a:ln>
        <a:effectLst/>
      </c:spPr>
    </c:plotArea>
    <c:legend>
      <c:legendPos val="r"/>
      <c:layout>
        <c:manualLayout>
          <c:xMode val="edge"/>
          <c:yMode val="edge"/>
          <c:x val="0.74032707437343581"/>
          <c:y val="0.3772975466448269"/>
          <c:w val="0.2514266472966592"/>
          <c:h val="0.49579712639496887"/>
        </c:manualLayout>
      </c:layout>
      <c:overlay val="0"/>
      <c:spPr>
        <a:noFill/>
        <a:ln>
          <a:noFill/>
        </a:ln>
        <a:effectLst/>
      </c:spPr>
      <c:txPr>
        <a:bodyPr rot="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REGION !PivotTable1</c:name>
    <c:fmtId val="1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r>
              <a:rPr lang="en-US" sz="2000" b="0">
                <a:solidFill>
                  <a:srgbClr val="176F41"/>
                </a:solidFill>
              </a:rPr>
              <a:t> </a:t>
            </a:r>
            <a:r>
              <a:rPr lang="en-US" sz="1900" b="1">
                <a:solidFill>
                  <a:srgbClr val="176F41"/>
                </a:solidFill>
              </a:rPr>
              <a:t>Regional  Performance</a:t>
            </a:r>
            <a:r>
              <a:rPr lang="en-US" sz="1900" b="1" baseline="0">
                <a:solidFill>
                  <a:srgbClr val="176F41"/>
                </a:solidFill>
              </a:rPr>
              <a:t> </a:t>
            </a:r>
            <a:r>
              <a:rPr lang="en-US" sz="1600" b="1" baseline="0">
                <a:solidFill>
                  <a:srgbClr val="176F41"/>
                </a:solidFill>
              </a:rPr>
              <a:t>by Revenue</a:t>
            </a:r>
            <a:r>
              <a:rPr lang="en-US" sz="1600" b="1">
                <a:solidFill>
                  <a:srgbClr val="176F41"/>
                </a:solidFill>
              </a:rPr>
              <a:t>  </a:t>
            </a:r>
          </a:p>
        </c:rich>
      </c:tx>
      <c:layout>
        <c:manualLayout>
          <c:xMode val="edge"/>
          <c:yMode val="edge"/>
          <c:x val="0"/>
          <c:y val="2.1070379962058895E-2"/>
        </c:manualLayout>
      </c:layout>
      <c:overlay val="1"/>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solidFill>
          <a:ln>
            <a:noFill/>
          </a:ln>
          <a:effectLst/>
        </c:spPr>
      </c:pivotFmt>
      <c:pivotFmt>
        <c:idx val="56"/>
        <c:spPr>
          <a:solidFill>
            <a:schemeClr val="accent1"/>
          </a:solidFill>
          <a:ln>
            <a:noFill/>
          </a:ln>
          <a:effectLst/>
        </c:spPr>
      </c:pivotFmt>
      <c:pivotFmt>
        <c:idx val="57"/>
        <c:spPr>
          <a:solidFill>
            <a:srgbClr val="00B0F0"/>
          </a:solidFill>
          <a:ln>
            <a:noFill/>
          </a:ln>
          <a:effectLst/>
        </c:spPr>
      </c:pivotFmt>
      <c:pivotFmt>
        <c:idx val="58"/>
        <c:spPr>
          <a:solidFill>
            <a:schemeClr val="accent4">
              <a:lumMod val="75000"/>
            </a:schemeClr>
          </a:solidFill>
          <a:ln>
            <a:noFill/>
          </a:ln>
          <a:effectLst/>
        </c:spPr>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tx2"/>
          </a:solidFill>
          <a:ln>
            <a:noFill/>
          </a:ln>
          <a:effectLst/>
        </c:spPr>
      </c:pivotFmt>
      <c:pivotFmt>
        <c:idx val="61"/>
        <c:spPr>
          <a:solidFill>
            <a:schemeClr val="accent1"/>
          </a:solidFill>
          <a:ln>
            <a:noFill/>
          </a:ln>
          <a:effectLst/>
        </c:spPr>
      </c:pivotFmt>
      <c:pivotFmt>
        <c:idx val="62"/>
        <c:spPr>
          <a:solidFill>
            <a:srgbClr val="00B0F0"/>
          </a:solidFill>
          <a:ln>
            <a:noFill/>
          </a:ln>
          <a:effectLst/>
        </c:spPr>
      </c:pivotFmt>
      <c:pivotFmt>
        <c:idx val="63"/>
        <c:spPr>
          <a:solidFill>
            <a:schemeClr val="accent4">
              <a:lumMod val="75000"/>
            </a:schemeClr>
          </a:solidFill>
          <a:ln>
            <a:noFill/>
          </a:ln>
          <a:effectLst/>
        </c:spPr>
      </c:pivotFmt>
      <c:pivotFmt>
        <c:idx val="64"/>
        <c:spPr>
          <a:solidFill>
            <a:schemeClr val="accent1"/>
          </a:solidFill>
          <a:ln>
            <a:noFill/>
          </a:ln>
          <a:effectLst/>
        </c:spPr>
        <c:marker>
          <c:symbol val="none"/>
        </c:marker>
        <c:dLbl>
          <c:idx val="0"/>
          <c:spPr>
            <a:noFill/>
            <a:ln>
              <a:solidFill>
                <a:schemeClr val="bg1"/>
              </a:solidFill>
            </a:ln>
            <a:effectLst/>
          </c:spPr>
          <c:txPr>
            <a:bodyPr rot="0" spcFirstLastPara="1" vertOverflow="ellipsis" vert="horz" wrap="square" anchor="ctr" anchorCtr="1"/>
            <a:lstStyle/>
            <a:p>
              <a:pPr>
                <a:defRPr sz="1150" b="1"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176F41"/>
          </a:solidFill>
          <a:ln>
            <a:noFill/>
          </a:ln>
          <a:effectLst/>
        </c:spPr>
      </c:pivotFmt>
      <c:pivotFmt>
        <c:idx val="66"/>
        <c:spPr>
          <a:solidFill>
            <a:srgbClr val="209C5B"/>
          </a:solidFill>
          <a:ln>
            <a:noFill/>
          </a:ln>
          <a:effectLst/>
        </c:spPr>
      </c:pivotFmt>
      <c:pivotFmt>
        <c:idx val="67"/>
        <c:spPr>
          <a:solidFill>
            <a:srgbClr val="33D580"/>
          </a:solidFill>
          <a:ln>
            <a:noFill/>
          </a:ln>
          <a:effectLst/>
        </c:spPr>
      </c:pivotFmt>
      <c:pivotFmt>
        <c:idx val="68"/>
        <c:spPr>
          <a:solidFill>
            <a:srgbClr val="60DE9C"/>
          </a:solidFill>
          <a:ln>
            <a:noFill/>
          </a:ln>
          <a:effectLst/>
        </c:spPr>
      </c:pivotFmt>
    </c:pivotFmts>
    <c:plotArea>
      <c:layout>
        <c:manualLayout>
          <c:layoutTarget val="inner"/>
          <c:xMode val="edge"/>
          <c:yMode val="edge"/>
          <c:x val="0.27415234742829175"/>
          <c:y val="0.22361925519423012"/>
          <c:w val="0.37653334575214126"/>
          <c:h val="0.73155215447127686"/>
        </c:manualLayout>
      </c:layout>
      <c:pieChart>
        <c:varyColors val="1"/>
        <c:ser>
          <c:idx val="0"/>
          <c:order val="0"/>
          <c:tx>
            <c:strRef>
              <c:f>'SALES BY REGION '!$B$3</c:f>
              <c:strCache>
                <c:ptCount val="1"/>
                <c:pt idx="0">
                  <c:v>Total</c:v>
                </c:pt>
              </c:strCache>
            </c:strRef>
          </c:tx>
          <c:spPr>
            <a:ln>
              <a:noFill/>
            </a:ln>
          </c:spPr>
          <c:dPt>
            <c:idx val="0"/>
            <c:bubble3D val="0"/>
            <c:spPr>
              <a:solidFill>
                <a:srgbClr val="176F41"/>
              </a:solidFill>
              <a:ln>
                <a:noFill/>
              </a:ln>
              <a:effectLst/>
            </c:spPr>
            <c:extLst>
              <c:ext xmlns:c16="http://schemas.microsoft.com/office/drawing/2014/chart" uri="{C3380CC4-5D6E-409C-BE32-E72D297353CC}">
                <c16:uniqueId val="{00000001-8A77-4215-AC3E-AC7060EFAE92}"/>
              </c:ext>
            </c:extLst>
          </c:dPt>
          <c:dPt>
            <c:idx val="1"/>
            <c:bubble3D val="0"/>
            <c:spPr>
              <a:solidFill>
                <a:srgbClr val="209C5B"/>
              </a:solidFill>
              <a:ln>
                <a:noFill/>
              </a:ln>
              <a:effectLst/>
            </c:spPr>
            <c:extLst>
              <c:ext xmlns:c16="http://schemas.microsoft.com/office/drawing/2014/chart" uri="{C3380CC4-5D6E-409C-BE32-E72D297353CC}">
                <c16:uniqueId val="{00000003-8A77-4215-AC3E-AC7060EFAE92}"/>
              </c:ext>
            </c:extLst>
          </c:dPt>
          <c:dPt>
            <c:idx val="2"/>
            <c:bubble3D val="0"/>
            <c:spPr>
              <a:solidFill>
                <a:srgbClr val="33D580"/>
              </a:solidFill>
              <a:ln>
                <a:noFill/>
              </a:ln>
              <a:effectLst/>
            </c:spPr>
            <c:extLst>
              <c:ext xmlns:c16="http://schemas.microsoft.com/office/drawing/2014/chart" uri="{C3380CC4-5D6E-409C-BE32-E72D297353CC}">
                <c16:uniqueId val="{00000005-8A77-4215-AC3E-AC7060EFAE92}"/>
              </c:ext>
            </c:extLst>
          </c:dPt>
          <c:dPt>
            <c:idx val="3"/>
            <c:bubble3D val="0"/>
            <c:spPr>
              <a:solidFill>
                <a:srgbClr val="60DE9C"/>
              </a:solidFill>
              <a:ln>
                <a:noFill/>
              </a:ln>
              <a:effectLst/>
            </c:spPr>
            <c:extLst>
              <c:ext xmlns:c16="http://schemas.microsoft.com/office/drawing/2014/chart" uri="{C3380CC4-5D6E-409C-BE32-E72D297353CC}">
                <c16:uniqueId val="{00000007-8A77-4215-AC3E-AC7060EFAE92}"/>
              </c:ext>
            </c:extLst>
          </c:dPt>
          <c:dPt>
            <c:idx val="4"/>
            <c:bubble3D val="0"/>
            <c:spPr>
              <a:solidFill>
                <a:schemeClr val="accent5"/>
              </a:solidFill>
              <a:ln>
                <a:noFill/>
              </a:ln>
              <a:effectLst/>
            </c:spPr>
            <c:extLst>
              <c:ext xmlns:c16="http://schemas.microsoft.com/office/drawing/2014/chart" uri="{C3380CC4-5D6E-409C-BE32-E72D297353CC}">
                <c16:uniqueId val="{00000009-8A77-4215-AC3E-AC7060EFAE92}"/>
              </c:ext>
            </c:extLst>
          </c:dPt>
          <c:dPt>
            <c:idx val="5"/>
            <c:bubble3D val="0"/>
            <c:spPr>
              <a:solidFill>
                <a:schemeClr val="accent6"/>
              </a:solidFill>
              <a:ln>
                <a:noFill/>
              </a:ln>
              <a:effectLst/>
            </c:spPr>
            <c:extLst>
              <c:ext xmlns:c16="http://schemas.microsoft.com/office/drawing/2014/chart" uri="{C3380CC4-5D6E-409C-BE32-E72D297353CC}">
                <c16:uniqueId val="{0000000B-8A77-4215-AC3E-AC7060EFAE9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A77-4215-AC3E-AC7060EFAE9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A77-4215-AC3E-AC7060EFAE9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A77-4215-AC3E-AC7060EFAE9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A77-4215-AC3E-AC7060EFAE92}"/>
              </c:ext>
            </c:extLst>
          </c:dPt>
          <c:dLbls>
            <c:spPr>
              <a:noFill/>
              <a:ln>
                <a:solidFill>
                  <a:schemeClr val="bg1"/>
                </a:solidFill>
              </a:ln>
              <a:effectLst/>
            </c:spPr>
            <c:txPr>
              <a:bodyPr rot="0" spcFirstLastPara="1" vertOverflow="ellipsis" vert="horz" wrap="square" anchor="ctr" anchorCtr="1"/>
              <a:lstStyle/>
              <a:p>
                <a:pPr>
                  <a:defRPr sz="1150" b="1"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'!$A$4:$A$8</c:f>
              <c:strCache>
                <c:ptCount val="4"/>
                <c:pt idx="0">
                  <c:v>North</c:v>
                </c:pt>
                <c:pt idx="1">
                  <c:v>East</c:v>
                </c:pt>
                <c:pt idx="2">
                  <c:v>South</c:v>
                </c:pt>
                <c:pt idx="3">
                  <c:v>West</c:v>
                </c:pt>
              </c:strCache>
            </c:strRef>
          </c:cat>
          <c:val>
            <c:numRef>
              <c:f>'SALES BY REGION '!$B$4:$B$8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4-8A77-4215-AC3E-AC7060EFAE9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959520902419003"/>
          <c:y val="0.3512434554519564"/>
          <c:w val="0.13582148808638264"/>
          <c:h val="0.28242884803111656"/>
        </c:manualLayout>
      </c:layout>
      <c:overlay val="1"/>
      <c:spPr>
        <a:noFill/>
        <a:ln>
          <a:noFill/>
        </a:ln>
        <a:effectLst/>
      </c:spPr>
      <c:txPr>
        <a:bodyPr rot="0" spcFirstLastPara="1" vertOverflow="ellipsis" vert="horz" wrap="square" anchor="ctr" anchorCtr="1"/>
        <a:lstStyle/>
        <a:p>
          <a:pPr>
            <a:defRPr sz="1150" b="1"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b="0" cap="none" spc="0">
          <a:ln w="0"/>
          <a:solidFill>
            <a:schemeClr val="tx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900" b="1">
                <a:solidFill>
                  <a:srgbClr val="176F41"/>
                </a:solidFill>
              </a:rPr>
              <a:t>Sales</a:t>
            </a:r>
            <a:r>
              <a:rPr lang="en-US" sz="1900" b="1" baseline="0">
                <a:solidFill>
                  <a:srgbClr val="176F41"/>
                </a:solidFill>
              </a:rPr>
              <a:t> Trend Report </a:t>
            </a:r>
            <a:r>
              <a:rPr lang="en-US" sz="1600" b="1" baseline="0">
                <a:solidFill>
                  <a:srgbClr val="176F41"/>
                </a:solidFill>
              </a:rPr>
              <a:t>for the Year</a:t>
            </a:r>
            <a:endParaRPr lang="en-US" sz="1600" b="1">
              <a:solidFill>
                <a:srgbClr val="176F41"/>
              </a:solidFill>
            </a:endParaRPr>
          </a:p>
        </c:rich>
      </c:tx>
      <c:layout>
        <c:manualLayout>
          <c:xMode val="edge"/>
          <c:yMode val="edge"/>
          <c:x val="1.6716827529674603E-2"/>
          <c:y val="2.1909886534390757E-2"/>
        </c:manualLayout>
      </c:layout>
      <c:overlay val="0"/>
      <c:spPr>
        <a:noFill/>
        <a:ln cap="rnd">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76F4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76F41"/>
            </a:solidFill>
            <a:round/>
          </a:ln>
          <a:effectLst/>
        </c:spPr>
        <c:marker>
          <c:symbol val="none"/>
        </c:marker>
      </c:pivotFmt>
      <c:pivotFmt>
        <c:idx val="4"/>
        <c:spPr>
          <a:ln w="28575" cap="rnd">
            <a:solidFill>
              <a:srgbClr val="176F41"/>
            </a:solidFill>
            <a:round/>
          </a:ln>
          <a:effectLst/>
        </c:spPr>
        <c:marker>
          <c:symbol val="none"/>
        </c:marker>
        <c:dLbl>
          <c:idx val="0"/>
          <c:layout>
            <c:manualLayout>
              <c:x val="-8.8680540005941277E-2"/>
              <c:y val="6.5710039121682967E-2"/>
            </c:manualLayout>
          </c:layout>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7984496124031E-2"/>
          <c:y val="0.11204727840960774"/>
          <c:w val="0.96124031007751942"/>
          <c:h val="0.80161233170371449"/>
        </c:manualLayout>
      </c:layout>
      <c:lineChart>
        <c:grouping val="standard"/>
        <c:varyColors val="0"/>
        <c:ser>
          <c:idx val="0"/>
          <c:order val="0"/>
          <c:tx>
            <c:strRef>
              <c:f>'SALES TREND REPORT'!$B$3</c:f>
              <c:strCache>
                <c:ptCount val="1"/>
                <c:pt idx="0">
                  <c:v>Total</c:v>
                </c:pt>
              </c:strCache>
            </c:strRef>
          </c:tx>
          <c:spPr>
            <a:ln w="28575" cap="rnd">
              <a:solidFill>
                <a:srgbClr val="176F41"/>
              </a:solidFill>
              <a:round/>
            </a:ln>
            <a:effectLst/>
          </c:spPr>
          <c:marker>
            <c:symbol val="none"/>
          </c:marker>
          <c:dPt>
            <c:idx val="5"/>
            <c:marker>
              <c:symbol val="none"/>
            </c:marker>
            <c:bubble3D val="0"/>
            <c:spPr>
              <a:ln w="28575" cap="rnd">
                <a:solidFill>
                  <a:srgbClr val="176F41"/>
                </a:solidFill>
                <a:round/>
              </a:ln>
              <a:effectLst/>
            </c:spPr>
            <c:extLst>
              <c:ext xmlns:c16="http://schemas.microsoft.com/office/drawing/2014/chart" uri="{C3380CC4-5D6E-409C-BE32-E72D297353CC}">
                <c16:uniqueId val="{00000000-4012-4927-9E00-E86D309DF162}"/>
              </c:ext>
            </c:extLst>
          </c:dPt>
          <c:dPt>
            <c:idx val="7"/>
            <c:marker>
              <c:symbol val="none"/>
            </c:marker>
            <c:bubble3D val="0"/>
            <c:spPr>
              <a:ln w="28575" cap="rnd">
                <a:solidFill>
                  <a:srgbClr val="176F41"/>
                </a:solidFill>
                <a:round/>
              </a:ln>
              <a:effectLst/>
            </c:spPr>
            <c:extLst>
              <c:ext xmlns:c16="http://schemas.microsoft.com/office/drawing/2014/chart" uri="{C3380CC4-5D6E-409C-BE32-E72D297353CC}">
                <c16:uniqueId val="{00000002-2380-4CF7-B8ED-0EF707358133}"/>
              </c:ext>
            </c:extLst>
          </c:dPt>
          <c:dLbls>
            <c:dLbl>
              <c:idx val="7"/>
              <c:layout>
                <c:manualLayout>
                  <c:x val="-8.8680540005941277E-2"/>
                  <c:y val="6.57100391216829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80-4CF7-B8ED-0EF707358133}"/>
                </c:ext>
              </c:extLst>
            </c:dLbl>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dLblPos val="t"/>
          <c:showLegendKey val="0"/>
          <c:showVal val="1"/>
          <c:showCatName val="0"/>
          <c:showSerName val="0"/>
          <c:showPercent val="0"/>
          <c:showBubbleSize val="0"/>
        </c:dLbls>
        <c:smooth val="0"/>
        <c:axId val="1257075776"/>
        <c:axId val="1257088736"/>
      </c:lineChart>
      <c:catAx>
        <c:axId val="125707577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22-opute Godswill.xlsx]TOP 10 CUSTOMERS!PivotTable1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900" b="1">
                <a:solidFill>
                  <a:srgbClr val="176F41"/>
                </a:solidFill>
              </a:rPr>
              <a:t>Top Customers </a:t>
            </a:r>
            <a:r>
              <a:rPr lang="en-US" sz="1600" b="1">
                <a:solidFill>
                  <a:srgbClr val="176F41"/>
                </a:solidFill>
              </a:rPr>
              <a:t>by Revenue</a:t>
            </a:r>
          </a:p>
        </c:rich>
      </c:tx>
      <c:layout>
        <c:manualLayout>
          <c:xMode val="edge"/>
          <c:yMode val="edge"/>
          <c:x val="3.1546215854254572E-2"/>
          <c:y val="2.5578192082750872E-2"/>
        </c:manualLayout>
      </c:layout>
      <c:overlay val="0"/>
      <c:spPr>
        <a:noFill/>
        <a:ln cap="rnd">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28575" cap="rnd">
            <a:solidFill>
              <a:srgbClr val="00B050"/>
            </a:solidFill>
            <a:round/>
          </a:ln>
          <a:effectLst/>
        </c:spPr>
        <c:marker>
          <c:symbol val="none"/>
        </c:marker>
        <c:dLbl>
          <c:idx val="0"/>
          <c:layout>
            <c:manualLayout>
              <c:x val="-3.3446905524782092E-2"/>
              <c:y val="3.4948312271700839E-3"/>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28575" cap="rnd">
            <a:solidFill>
              <a:srgbClr val="00B050"/>
            </a:solidFill>
            <a:round/>
          </a:ln>
          <a:effectLst/>
        </c:spPr>
        <c:marker>
          <c:symbol val="none"/>
        </c:marker>
        <c:dLbl>
          <c:idx val="0"/>
          <c:layout>
            <c:manualLayout>
              <c:x val="-8.7333586648042139E-2"/>
              <c:y val="-8.312453030475232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28575" cap="rnd">
            <a:solidFill>
              <a:srgbClr val="00B050"/>
            </a:solidFill>
            <a:round/>
          </a:ln>
          <a:effectLst/>
        </c:spPr>
        <c:marker>
          <c:symbol val="none"/>
        </c:marker>
        <c:dLbl>
          <c:idx val="0"/>
          <c:layout>
            <c:manualLayout>
              <c:x val="-7.9900940975868334E-2"/>
              <c:y val="-1.5113550964500479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28575" cap="rnd">
            <a:solidFill>
              <a:srgbClr val="00B050"/>
            </a:solidFill>
            <a:round/>
          </a:ln>
          <a:effectLst/>
        </c:spPr>
        <c:marker>
          <c:symbol val="none"/>
        </c:marker>
        <c:dLbl>
          <c:idx val="0"/>
          <c:layout>
            <c:manualLayout>
              <c:x val="-7.6184618139781501E-2"/>
              <c:y val="4.534065289350123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28575" cap="rnd">
            <a:solidFill>
              <a:srgbClr val="00B050"/>
            </a:solidFill>
            <a:round/>
          </a:ln>
          <a:effectLst/>
        </c:spPr>
        <c:marker>
          <c:symbol val="none"/>
        </c:marker>
        <c:dLbl>
          <c:idx val="0"/>
          <c:layout>
            <c:manualLayout>
              <c:x val="1.8581614180433815E-3"/>
              <c:y val="9.785527436076234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28575" cap="rnd">
            <a:solidFill>
              <a:srgbClr val="00B050"/>
            </a:solidFill>
            <a:round/>
          </a:ln>
          <a:effectLst/>
        </c:spPr>
        <c:marker>
          <c:symbol val="none"/>
        </c:marker>
        <c:dLbl>
          <c:idx val="0"/>
          <c:layout>
            <c:manualLayout>
              <c:x val="7.2468295303694474E-2"/>
              <c:y val="6.2906962089061505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28575" cap="rnd">
            <a:solidFill>
              <a:srgbClr val="00B050"/>
            </a:solidFill>
            <a:round/>
          </a:ln>
          <a:effectLst/>
        </c:spPr>
        <c:marker>
          <c:symbol val="none"/>
        </c:marker>
        <c:dLbl>
          <c:idx val="0"/>
          <c:layout>
            <c:manualLayout>
              <c:x val="0.12078049217282423"/>
              <c:y val="1.0484493681510252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w="28575" cap="rnd">
            <a:solidFill>
              <a:srgbClr val="00B050"/>
            </a:solidFill>
            <a:round/>
          </a:ln>
          <a:effectLst/>
        </c:spPr>
        <c:marker>
          <c:symbol val="none"/>
        </c:marker>
        <c:dLbl>
          <c:idx val="0"/>
          <c:layout>
            <c:manualLayout>
              <c:x val="0.13080015628686498"/>
              <c:y val="1.577181570414601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28575" cap="rnd">
            <a:solidFill>
              <a:srgbClr val="00B050"/>
            </a:solidFill>
            <a:round/>
          </a:ln>
          <a:effectLst/>
        </c:spPr>
        <c:marker>
          <c:symbol val="none"/>
        </c:marker>
        <c:dLbl>
          <c:idx val="0"/>
          <c:layout>
            <c:manualLayout>
              <c:x val="0.10219876612413985"/>
              <c:y val="-5.1481321627043872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28575" cap="rnd">
            <a:solidFill>
              <a:srgbClr val="00B050"/>
            </a:solidFill>
            <a:round/>
          </a:ln>
          <a:effectLst/>
        </c:spPr>
        <c:marker>
          <c:symbol val="none"/>
        </c:marker>
        <c:dLbl>
          <c:idx val="0"/>
          <c:layout>
            <c:manualLayout>
              <c:x val="1.6651702113095274E-2"/>
              <c:y val="-0.13384528444012656"/>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28575" cap="rnd">
            <a:solidFill>
              <a:srgbClr val="00B050"/>
            </a:solidFill>
            <a:round/>
          </a:ln>
          <a:effectLst/>
        </c:spPr>
        <c:marker>
          <c:symbol val="none"/>
        </c:marker>
        <c:dLbl>
          <c:idx val="0"/>
          <c:layout>
            <c:manualLayout>
              <c:x val="1.6651702113095274E-2"/>
              <c:y val="-0.13384528444012656"/>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28575" cap="rnd">
            <a:solidFill>
              <a:srgbClr val="00B050"/>
            </a:solidFill>
            <a:round/>
          </a:ln>
          <a:effectLst/>
        </c:spPr>
        <c:marker>
          <c:symbol val="none"/>
        </c:marker>
        <c:dLbl>
          <c:idx val="0"/>
          <c:layout>
            <c:manualLayout>
              <c:x val="0.10219876612413985"/>
              <c:y val="-5.1481321627043872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w="28575" cap="rnd">
            <a:solidFill>
              <a:srgbClr val="00B050"/>
            </a:solidFill>
            <a:round/>
          </a:ln>
          <a:effectLst/>
        </c:spPr>
        <c:marker>
          <c:symbol val="none"/>
        </c:marker>
        <c:dLbl>
          <c:idx val="0"/>
          <c:layout>
            <c:manualLayout>
              <c:x val="0.13080015628686498"/>
              <c:y val="1.577181570414601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w="28575" cap="rnd">
            <a:solidFill>
              <a:srgbClr val="00B050"/>
            </a:solidFill>
            <a:round/>
          </a:ln>
          <a:effectLst/>
        </c:spPr>
        <c:marker>
          <c:symbol val="none"/>
        </c:marker>
        <c:dLbl>
          <c:idx val="0"/>
          <c:layout>
            <c:manualLayout>
              <c:x val="0.12078049217282423"/>
              <c:y val="1.0484493681510252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w="28575" cap="rnd">
            <a:solidFill>
              <a:srgbClr val="00B050"/>
            </a:solidFill>
            <a:round/>
          </a:ln>
          <a:effectLst/>
        </c:spPr>
        <c:marker>
          <c:symbol val="none"/>
        </c:marker>
        <c:dLbl>
          <c:idx val="0"/>
          <c:layout>
            <c:manualLayout>
              <c:x val="7.2468295303694474E-2"/>
              <c:y val="6.2906962089061505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28575" cap="rnd">
            <a:solidFill>
              <a:srgbClr val="00B050"/>
            </a:solidFill>
            <a:round/>
          </a:ln>
          <a:effectLst/>
        </c:spPr>
        <c:marker>
          <c:symbol val="none"/>
        </c:marker>
        <c:dLbl>
          <c:idx val="0"/>
          <c:layout>
            <c:manualLayout>
              <c:x val="1.8581614180433815E-3"/>
              <c:y val="9.785527436076234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w="28575" cap="rnd">
            <a:solidFill>
              <a:srgbClr val="00B050"/>
            </a:solidFill>
            <a:round/>
          </a:ln>
          <a:effectLst/>
        </c:spPr>
        <c:marker>
          <c:symbol val="none"/>
        </c:marker>
        <c:dLbl>
          <c:idx val="0"/>
          <c:layout>
            <c:manualLayout>
              <c:x val="-7.6184618139781501E-2"/>
              <c:y val="4.534065289350123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w="28575" cap="rnd">
            <a:solidFill>
              <a:srgbClr val="00B050"/>
            </a:solidFill>
            <a:round/>
          </a:ln>
          <a:effectLst/>
        </c:spPr>
        <c:marker>
          <c:symbol val="none"/>
        </c:marker>
        <c:dLbl>
          <c:idx val="0"/>
          <c:layout>
            <c:manualLayout>
              <c:x val="-7.9900940975868334E-2"/>
              <c:y val="-1.5113550964500479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w="28575" cap="rnd">
            <a:solidFill>
              <a:srgbClr val="00B050"/>
            </a:solidFill>
            <a:round/>
          </a:ln>
          <a:effectLst/>
        </c:spPr>
        <c:marker>
          <c:symbol val="none"/>
        </c:marker>
        <c:dLbl>
          <c:idx val="0"/>
          <c:layout>
            <c:manualLayout>
              <c:x val="-8.7333586648042139E-2"/>
              <c:y val="-8.3124530304752323E-2"/>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1"/>
          </a:solidFill>
          <a:ln w="28575" cap="rnd">
            <a:solidFill>
              <a:srgbClr val="00B050"/>
            </a:solidFill>
            <a:round/>
          </a:ln>
          <a:effectLst/>
        </c:spPr>
        <c:marker>
          <c:symbol val="none"/>
        </c:marker>
        <c:dLbl>
          <c:idx val="0"/>
          <c:layout>
            <c:manualLayout>
              <c:x val="-3.3446905524782092E-2"/>
              <c:y val="3.4948312271700839E-3"/>
            </c:manualLayout>
          </c:layout>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ln w="28575" cap="rnd">
            <a:solidFill>
              <a:srgbClr val="176F41"/>
            </a:solidFill>
            <a:round/>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ln w="28575" cap="rnd">
            <a:solidFill>
              <a:srgbClr val="176F41"/>
            </a:solidFill>
            <a:round/>
          </a:ln>
          <a:effectLst/>
        </c:spPr>
        <c:marker>
          <c:symbol val="none"/>
        </c:marker>
        <c:dLbl>
          <c:idx val="0"/>
          <c:layout>
            <c:manualLayout>
              <c:x val="1.6651817545685881E-2"/>
              <c:y val="-0.20032355137621299"/>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ln w="28575" cap="rnd">
            <a:solidFill>
              <a:srgbClr val="176F41"/>
            </a:solidFill>
            <a:round/>
          </a:ln>
          <a:effectLst/>
        </c:spPr>
        <c:marker>
          <c:symbol val="none"/>
        </c:marker>
        <c:dLbl>
          <c:idx val="0"/>
          <c:layout>
            <c:manualLayout>
              <c:x val="0.10219876612413985"/>
              <c:y val="-5.1481321627043872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ln w="28575" cap="rnd">
            <a:solidFill>
              <a:srgbClr val="176F41"/>
            </a:solidFill>
            <a:round/>
          </a:ln>
          <a:effectLst/>
        </c:spPr>
        <c:marker>
          <c:symbol val="none"/>
        </c:marker>
        <c:dLbl>
          <c:idx val="0"/>
          <c:layout>
            <c:manualLayout>
              <c:x val="0.17801630791987039"/>
              <c:y val="1.9465136946624134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ln w="28575" cap="rnd">
            <a:solidFill>
              <a:srgbClr val="176F41"/>
            </a:solidFill>
            <a:round/>
          </a:ln>
          <a:effectLst/>
        </c:spPr>
        <c:marker>
          <c:symbol val="none"/>
        </c:marker>
        <c:dLbl>
          <c:idx val="0"/>
          <c:layout>
            <c:manualLayout>
              <c:x val="0.18161856694721545"/>
              <c:y val="-4.1597601579728737E-3"/>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ln w="28575" cap="rnd">
            <a:solidFill>
              <a:srgbClr val="176F41"/>
            </a:solidFill>
            <a:round/>
          </a:ln>
          <a:effectLst/>
        </c:spPr>
        <c:marker>
          <c:symbol val="none"/>
        </c:marker>
        <c:dLbl>
          <c:idx val="0"/>
          <c:layout>
            <c:manualLayout>
              <c:x val="0.13992014669426689"/>
              <c:y val="0.10722590318700723"/>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ln w="28575" cap="rnd">
            <a:solidFill>
              <a:srgbClr val="176F41"/>
            </a:solidFill>
            <a:round/>
          </a:ln>
          <a:effectLst/>
        </c:spPr>
        <c:marker>
          <c:symbol val="none"/>
        </c:marker>
        <c:dLbl>
          <c:idx val="0"/>
          <c:layout>
            <c:manualLayout>
              <c:x val="-1.5144775610086425E-3"/>
              <c:y val="0.1274011897477893"/>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ln w="28575" cap="rnd">
            <a:solidFill>
              <a:srgbClr val="176F41"/>
            </a:solidFill>
            <a:round/>
          </a:ln>
          <a:effectLst/>
        </c:spPr>
        <c:marker>
          <c:symbol val="none"/>
        </c:marker>
        <c:dLbl>
          <c:idx val="0"/>
          <c:layout>
            <c:manualLayout>
              <c:x val="-7.955720850688662E-2"/>
              <c:y val="1.9487819858132929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ln w="28575" cap="rnd">
            <a:solidFill>
              <a:srgbClr val="176F41"/>
            </a:solidFill>
            <a:round/>
          </a:ln>
          <a:effectLst/>
        </c:spPr>
        <c:marker>
          <c:symbol val="none"/>
        </c:marker>
        <c:dLbl>
          <c:idx val="0"/>
          <c:layout>
            <c:manualLayout>
              <c:x val="-0.11025412577625937"/>
              <c:y val="-2.2499994183868912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ln w="28575" cap="rnd">
            <a:solidFill>
              <a:srgbClr val="176F41"/>
            </a:solidFill>
            <a:round/>
          </a:ln>
          <a:effectLst/>
        </c:spPr>
        <c:marker>
          <c:symbol val="none"/>
        </c:marker>
        <c:dLbl>
          <c:idx val="0"/>
          <c:layout>
            <c:manualLayout>
              <c:x val="-0.10419648109027513"/>
              <c:y val="-4.6192004448177178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ln w="28575" cap="rnd">
            <a:solidFill>
              <a:srgbClr val="176F41"/>
            </a:solidFill>
            <a:round/>
          </a:ln>
          <a:effectLst/>
        </c:spPr>
        <c:marker>
          <c:symbol val="none"/>
        </c:marker>
        <c:dLbl>
          <c:idx val="0"/>
          <c:layout>
            <c:manualLayout>
              <c:x val="-3.6819623677686916E-2"/>
              <c:y val="-2.2357789777102625E-2"/>
            </c:manualLayout>
          </c:layout>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1"/>
          </a:solidFill>
          <a:ln w="28575" cap="rnd">
            <a:solidFill>
              <a:srgbClr val="00B050"/>
            </a:solidFill>
            <a:round/>
          </a:ln>
          <a:effectLst/>
        </c:spPr>
        <c:marker>
          <c:symbol val="none"/>
        </c:marker>
      </c:pivotFmt>
      <c:pivotFmt>
        <c:idx val="35"/>
        <c:spPr>
          <a:solidFill>
            <a:schemeClr val="accent1"/>
          </a:solidFill>
          <a:ln w="28575" cap="rnd">
            <a:solidFill>
              <a:srgbClr val="00B050"/>
            </a:solidFill>
            <a:round/>
          </a:ln>
          <a:effectLst/>
        </c:spPr>
        <c:marker>
          <c:symbol val="none"/>
        </c:marker>
      </c:pivotFmt>
      <c:pivotFmt>
        <c:idx val="36"/>
        <c:spPr>
          <a:solidFill>
            <a:schemeClr val="accent1"/>
          </a:solidFill>
          <a:ln w="28575" cap="rnd">
            <a:solidFill>
              <a:srgbClr val="00B050"/>
            </a:solidFill>
            <a:round/>
          </a:ln>
          <a:effectLst/>
        </c:spPr>
        <c:marker>
          <c:symbol val="none"/>
        </c:marker>
      </c:pivotFmt>
      <c:pivotFmt>
        <c:idx val="37"/>
        <c:spPr>
          <a:solidFill>
            <a:schemeClr val="accent1"/>
          </a:solidFill>
          <a:ln w="28575" cap="rnd">
            <a:solidFill>
              <a:srgbClr val="00B050"/>
            </a:solidFill>
            <a:round/>
          </a:ln>
          <a:effectLst/>
        </c:spPr>
        <c:marker>
          <c:symbol val="none"/>
        </c:marker>
      </c:pivotFmt>
      <c:pivotFmt>
        <c:idx val="38"/>
        <c:spPr>
          <a:solidFill>
            <a:schemeClr val="accent1"/>
          </a:solidFill>
          <a:ln w="28575" cap="rnd">
            <a:solidFill>
              <a:srgbClr val="00B050"/>
            </a:solidFill>
            <a:round/>
          </a:ln>
          <a:effectLst/>
        </c:spPr>
        <c:marker>
          <c:symbol val="none"/>
        </c:marker>
      </c:pivotFmt>
    </c:pivotFmts>
    <c:plotArea>
      <c:layout>
        <c:manualLayout>
          <c:layoutTarget val="inner"/>
          <c:xMode val="edge"/>
          <c:yMode val="edge"/>
          <c:x val="0.28019040448369964"/>
          <c:y val="0.15691406953008005"/>
          <c:w val="0.43236446065840656"/>
          <c:h val="0.81729545397973835"/>
        </c:manualLayout>
      </c:layout>
      <c:radarChart>
        <c:radarStyle val="marker"/>
        <c:varyColors val="0"/>
        <c:ser>
          <c:idx val="0"/>
          <c:order val="0"/>
          <c:tx>
            <c:strRef>
              <c:f>'TOP 10 CUSTOMERS'!$B$3</c:f>
              <c:strCache>
                <c:ptCount val="1"/>
                <c:pt idx="0">
                  <c:v>Total</c:v>
                </c:pt>
              </c:strCache>
            </c:strRef>
          </c:tx>
          <c:spPr>
            <a:ln w="28575" cap="rnd">
              <a:solidFill>
                <a:srgbClr val="176F41"/>
              </a:solidFill>
              <a:round/>
            </a:ln>
            <a:effectLst/>
          </c:spPr>
          <c:marker>
            <c:symbol val="none"/>
          </c:marker>
          <c:dPt>
            <c:idx val="0"/>
            <c:marker>
              <c:symbol val="none"/>
            </c:marker>
            <c:bubble3D val="0"/>
            <c:spPr>
              <a:ln w="28575" cap="rnd">
                <a:solidFill>
                  <a:srgbClr val="176F41"/>
                </a:solidFill>
                <a:round/>
              </a:ln>
              <a:effectLst/>
            </c:spPr>
            <c:extLst>
              <c:ext xmlns:c16="http://schemas.microsoft.com/office/drawing/2014/chart" uri="{C3380CC4-5D6E-409C-BE32-E72D297353CC}">
                <c16:uniqueId val="{00000001-5A14-4FE7-A8C8-F2FA80BB9F1C}"/>
              </c:ext>
            </c:extLst>
          </c:dPt>
          <c:dPt>
            <c:idx val="1"/>
            <c:marker>
              <c:symbol val="none"/>
            </c:marker>
            <c:bubble3D val="0"/>
            <c:spPr>
              <a:ln w="28575" cap="rnd">
                <a:solidFill>
                  <a:srgbClr val="176F41"/>
                </a:solidFill>
                <a:round/>
              </a:ln>
              <a:effectLst/>
            </c:spPr>
            <c:extLst>
              <c:ext xmlns:c16="http://schemas.microsoft.com/office/drawing/2014/chart" uri="{C3380CC4-5D6E-409C-BE32-E72D297353CC}">
                <c16:uniqueId val="{00000003-5A14-4FE7-A8C8-F2FA80BB9F1C}"/>
              </c:ext>
            </c:extLst>
          </c:dPt>
          <c:dPt>
            <c:idx val="2"/>
            <c:marker>
              <c:symbol val="none"/>
            </c:marker>
            <c:bubble3D val="0"/>
            <c:spPr>
              <a:ln w="28575" cap="rnd">
                <a:solidFill>
                  <a:srgbClr val="176F41"/>
                </a:solidFill>
                <a:round/>
              </a:ln>
              <a:effectLst/>
            </c:spPr>
            <c:extLst>
              <c:ext xmlns:c16="http://schemas.microsoft.com/office/drawing/2014/chart" uri="{C3380CC4-5D6E-409C-BE32-E72D297353CC}">
                <c16:uniqueId val="{00000005-5A14-4FE7-A8C8-F2FA80BB9F1C}"/>
              </c:ext>
            </c:extLst>
          </c:dPt>
          <c:dPt>
            <c:idx val="3"/>
            <c:marker>
              <c:symbol val="none"/>
            </c:marker>
            <c:bubble3D val="0"/>
            <c:spPr>
              <a:ln w="28575" cap="rnd">
                <a:solidFill>
                  <a:srgbClr val="176F41"/>
                </a:solidFill>
                <a:round/>
              </a:ln>
              <a:effectLst/>
            </c:spPr>
            <c:extLst>
              <c:ext xmlns:c16="http://schemas.microsoft.com/office/drawing/2014/chart" uri="{C3380CC4-5D6E-409C-BE32-E72D297353CC}">
                <c16:uniqueId val="{00000007-5A14-4FE7-A8C8-F2FA80BB9F1C}"/>
              </c:ext>
            </c:extLst>
          </c:dPt>
          <c:dPt>
            <c:idx val="4"/>
            <c:marker>
              <c:symbol val="none"/>
            </c:marker>
            <c:bubble3D val="0"/>
            <c:spPr>
              <a:ln w="28575" cap="rnd">
                <a:solidFill>
                  <a:srgbClr val="176F41"/>
                </a:solidFill>
                <a:round/>
              </a:ln>
              <a:effectLst/>
            </c:spPr>
            <c:extLst>
              <c:ext xmlns:c16="http://schemas.microsoft.com/office/drawing/2014/chart" uri="{C3380CC4-5D6E-409C-BE32-E72D297353CC}">
                <c16:uniqueId val="{00000009-5A14-4FE7-A8C8-F2FA80BB9F1C}"/>
              </c:ext>
            </c:extLst>
          </c:dPt>
          <c:dPt>
            <c:idx val="5"/>
            <c:marker>
              <c:symbol val="none"/>
            </c:marker>
            <c:bubble3D val="0"/>
            <c:spPr>
              <a:ln w="28575" cap="rnd">
                <a:solidFill>
                  <a:srgbClr val="176F41"/>
                </a:solidFill>
                <a:round/>
              </a:ln>
              <a:effectLst/>
            </c:spPr>
            <c:extLst>
              <c:ext xmlns:c16="http://schemas.microsoft.com/office/drawing/2014/chart" uri="{C3380CC4-5D6E-409C-BE32-E72D297353CC}">
                <c16:uniqueId val="{0000000B-5A14-4FE7-A8C8-F2FA80BB9F1C}"/>
              </c:ext>
            </c:extLst>
          </c:dPt>
          <c:dPt>
            <c:idx val="6"/>
            <c:marker>
              <c:symbol val="none"/>
            </c:marker>
            <c:bubble3D val="0"/>
            <c:spPr>
              <a:ln w="28575" cap="rnd">
                <a:solidFill>
                  <a:srgbClr val="176F41"/>
                </a:solidFill>
                <a:round/>
              </a:ln>
              <a:effectLst/>
            </c:spPr>
            <c:extLst>
              <c:ext xmlns:c16="http://schemas.microsoft.com/office/drawing/2014/chart" uri="{C3380CC4-5D6E-409C-BE32-E72D297353CC}">
                <c16:uniqueId val="{0000000D-5A14-4FE7-A8C8-F2FA80BB9F1C}"/>
              </c:ext>
            </c:extLst>
          </c:dPt>
          <c:dPt>
            <c:idx val="7"/>
            <c:marker>
              <c:symbol val="none"/>
            </c:marker>
            <c:bubble3D val="0"/>
            <c:spPr>
              <a:ln w="28575" cap="rnd">
                <a:solidFill>
                  <a:srgbClr val="176F41"/>
                </a:solidFill>
                <a:round/>
              </a:ln>
              <a:effectLst/>
            </c:spPr>
            <c:extLst>
              <c:ext xmlns:c16="http://schemas.microsoft.com/office/drawing/2014/chart" uri="{C3380CC4-5D6E-409C-BE32-E72D297353CC}">
                <c16:uniqueId val="{0000000F-5A14-4FE7-A8C8-F2FA80BB9F1C}"/>
              </c:ext>
            </c:extLst>
          </c:dPt>
          <c:dPt>
            <c:idx val="8"/>
            <c:marker>
              <c:symbol val="none"/>
            </c:marker>
            <c:bubble3D val="0"/>
            <c:spPr>
              <a:ln w="28575" cap="rnd">
                <a:solidFill>
                  <a:srgbClr val="176F41"/>
                </a:solidFill>
                <a:round/>
              </a:ln>
              <a:effectLst/>
            </c:spPr>
            <c:extLst>
              <c:ext xmlns:c16="http://schemas.microsoft.com/office/drawing/2014/chart" uri="{C3380CC4-5D6E-409C-BE32-E72D297353CC}">
                <c16:uniqueId val="{00000011-5A14-4FE7-A8C8-F2FA80BB9F1C}"/>
              </c:ext>
            </c:extLst>
          </c:dPt>
          <c:dPt>
            <c:idx val="9"/>
            <c:marker>
              <c:symbol val="none"/>
            </c:marker>
            <c:bubble3D val="0"/>
            <c:spPr>
              <a:ln w="28575" cap="rnd">
                <a:solidFill>
                  <a:srgbClr val="176F41"/>
                </a:solidFill>
                <a:round/>
              </a:ln>
              <a:effectLst/>
            </c:spPr>
            <c:extLst>
              <c:ext xmlns:c16="http://schemas.microsoft.com/office/drawing/2014/chart" uri="{C3380CC4-5D6E-409C-BE32-E72D297353CC}">
                <c16:uniqueId val="{00000013-5A14-4FE7-A8C8-F2FA80BB9F1C}"/>
              </c:ext>
            </c:extLst>
          </c:dPt>
          <c:dPt>
            <c:idx val="10"/>
            <c:marker>
              <c:symbol val="none"/>
            </c:marker>
            <c:bubble3D val="0"/>
            <c:extLst>
              <c:ext xmlns:c16="http://schemas.microsoft.com/office/drawing/2014/chart" uri="{C3380CC4-5D6E-409C-BE32-E72D297353CC}">
                <c16:uniqueId val="{00000010-99F3-4D0E-B9A4-3D8E033BC16D}"/>
              </c:ext>
            </c:extLst>
          </c:dPt>
          <c:dPt>
            <c:idx val="11"/>
            <c:marker>
              <c:symbol val="none"/>
            </c:marker>
            <c:bubble3D val="0"/>
            <c:extLst>
              <c:ext xmlns:c16="http://schemas.microsoft.com/office/drawing/2014/chart" uri="{C3380CC4-5D6E-409C-BE32-E72D297353CC}">
                <c16:uniqueId val="{00000012-99F3-4D0E-B9A4-3D8E033BC16D}"/>
              </c:ext>
            </c:extLst>
          </c:dPt>
          <c:dPt>
            <c:idx val="12"/>
            <c:marker>
              <c:symbol val="none"/>
            </c:marker>
            <c:bubble3D val="0"/>
            <c:extLst>
              <c:ext xmlns:c16="http://schemas.microsoft.com/office/drawing/2014/chart" uri="{C3380CC4-5D6E-409C-BE32-E72D297353CC}">
                <c16:uniqueId val="{00000014-99F3-4D0E-B9A4-3D8E033BC16D}"/>
              </c:ext>
            </c:extLst>
          </c:dPt>
          <c:dPt>
            <c:idx val="13"/>
            <c:marker>
              <c:symbol val="none"/>
            </c:marker>
            <c:bubble3D val="0"/>
            <c:extLst>
              <c:ext xmlns:c16="http://schemas.microsoft.com/office/drawing/2014/chart" uri="{C3380CC4-5D6E-409C-BE32-E72D297353CC}">
                <c16:uniqueId val="{00000016-99F3-4D0E-B9A4-3D8E033BC16D}"/>
              </c:ext>
            </c:extLst>
          </c:dPt>
          <c:dPt>
            <c:idx val="14"/>
            <c:marker>
              <c:symbol val="none"/>
            </c:marker>
            <c:bubble3D val="0"/>
            <c:extLst>
              <c:ext xmlns:c16="http://schemas.microsoft.com/office/drawing/2014/chart" uri="{C3380CC4-5D6E-409C-BE32-E72D297353CC}">
                <c16:uniqueId val="{00000018-99F3-4D0E-B9A4-3D8E033BC16D}"/>
              </c:ext>
            </c:extLst>
          </c:dPt>
          <c:dLbls>
            <c:dLbl>
              <c:idx val="0"/>
              <c:layout>
                <c:manualLayout>
                  <c:x val="1.6651817545685881E-2"/>
                  <c:y val="-0.20032355137621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14-4FE7-A8C8-F2FA80BB9F1C}"/>
                </c:ext>
              </c:extLst>
            </c:dLbl>
            <c:dLbl>
              <c:idx val="1"/>
              <c:layout>
                <c:manualLayout>
                  <c:x val="0.10219876612413985"/>
                  <c:y val="-5.1481321627043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4-4FE7-A8C8-F2FA80BB9F1C}"/>
                </c:ext>
              </c:extLst>
            </c:dLbl>
            <c:dLbl>
              <c:idx val="2"/>
              <c:layout>
                <c:manualLayout>
                  <c:x val="0.17801630791987039"/>
                  <c:y val="1.94651369466241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14-4FE7-A8C8-F2FA80BB9F1C}"/>
                </c:ext>
              </c:extLst>
            </c:dLbl>
            <c:dLbl>
              <c:idx val="3"/>
              <c:layout>
                <c:manualLayout>
                  <c:x val="0.18161856694721545"/>
                  <c:y val="-4.1597601579728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14-4FE7-A8C8-F2FA80BB9F1C}"/>
                </c:ext>
              </c:extLst>
            </c:dLbl>
            <c:dLbl>
              <c:idx val="4"/>
              <c:layout>
                <c:manualLayout>
                  <c:x val="0.13992014669426689"/>
                  <c:y val="0.107225903187007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14-4FE7-A8C8-F2FA80BB9F1C}"/>
                </c:ext>
              </c:extLst>
            </c:dLbl>
            <c:dLbl>
              <c:idx val="5"/>
              <c:layout>
                <c:manualLayout>
                  <c:x val="-1.5144775610086425E-3"/>
                  <c:y val="0.12740118974778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A14-4FE7-A8C8-F2FA80BB9F1C}"/>
                </c:ext>
              </c:extLst>
            </c:dLbl>
            <c:dLbl>
              <c:idx val="6"/>
              <c:layout>
                <c:manualLayout>
                  <c:x val="-7.955720850688662E-2"/>
                  <c:y val="1.9487819858132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A14-4FE7-A8C8-F2FA80BB9F1C}"/>
                </c:ext>
              </c:extLst>
            </c:dLbl>
            <c:dLbl>
              <c:idx val="7"/>
              <c:layout>
                <c:manualLayout>
                  <c:x val="-0.11025412577625937"/>
                  <c:y val="-2.2499994183868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A14-4FE7-A8C8-F2FA80BB9F1C}"/>
                </c:ext>
              </c:extLst>
            </c:dLbl>
            <c:dLbl>
              <c:idx val="8"/>
              <c:layout>
                <c:manualLayout>
                  <c:x val="-0.10419648109027513"/>
                  <c:y val="-4.6192004448177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A14-4FE7-A8C8-F2FA80BB9F1C}"/>
                </c:ext>
              </c:extLst>
            </c:dLbl>
            <c:dLbl>
              <c:idx val="9"/>
              <c:layout>
                <c:manualLayout>
                  <c:x val="-3.6819623677686916E-2"/>
                  <c:y val="-2.2357789777102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A14-4FE7-A8C8-F2FA80BB9F1C}"/>
                </c:ext>
              </c:extLst>
            </c:dLbl>
            <c:spPr>
              <a:noFill/>
              <a:ln>
                <a:noFill/>
              </a:ln>
              <a:effectLst/>
            </c:spPr>
            <c:txPr>
              <a:bodyPr rot="0" spcFirstLastPara="1" vertOverflow="ellipsis"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CUSTOMERS'!$B$4:$B$14</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14-5A14-4FE7-A8C8-F2FA80BB9F1C}"/>
            </c:ext>
          </c:extLst>
        </c:ser>
        <c:dLbls>
          <c:showLegendKey val="0"/>
          <c:showVal val="1"/>
          <c:showCatName val="0"/>
          <c:showSerName val="0"/>
          <c:showPercent val="0"/>
          <c:showBubbleSize val="0"/>
        </c:dLbls>
        <c:axId val="1257075776"/>
        <c:axId val="1257088736"/>
      </c:radarChart>
      <c:catAx>
        <c:axId val="125707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crossAx val="1257088736"/>
        <c:crosses val="autoZero"/>
        <c:auto val="1"/>
        <c:lblAlgn val="ctr"/>
        <c:lblOffset val="100"/>
        <c:noMultiLvlLbl val="0"/>
      </c:catAx>
      <c:valAx>
        <c:axId val="1257088736"/>
        <c:scaling>
          <c:orientation val="minMax"/>
        </c:scaling>
        <c:delete val="1"/>
        <c:axPos val="l"/>
        <c:majorGridlines>
          <c:spPr>
            <a:ln w="9525" cap="flat" cmpd="sng" algn="ctr">
              <a:solidFill>
                <a:schemeClr val="bg1"/>
              </a:solidFill>
              <a:round/>
            </a:ln>
            <a:effectLst/>
          </c:spPr>
        </c:majorGridlines>
        <c:numFmt formatCode="&quot;$&quot;#,##0.00" sourceLinked="1"/>
        <c:majorTickMark val="out"/>
        <c:minorTickMark val="none"/>
        <c:tickLblPos val="nextTo"/>
        <c:crossAx val="1257075776"/>
        <c:crosses val="autoZero"/>
        <c:crossBetween val="between"/>
      </c:valAx>
      <c:spPr>
        <a:noFill/>
        <a:ln w="2540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prstDash val="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FEE6C"/>
            </a:solidFill>
            <a:round/>
          </a:ln>
          <a:effectLst/>
        </c:spPr>
        <c:marker>
          <c:symbol val="none"/>
        </c:marker>
        <c:dLbl>
          <c:idx val="0"/>
          <c:spPr>
            <a:noFill/>
            <a:ln>
              <a:solidFill>
                <a:schemeClr val="accent6">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380157480314963E-2"/>
          <c:y val="4.7244117738246922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showLegendKey val="0"/>
          <c:showVal val="0"/>
          <c:showCatName val="0"/>
          <c:showSerName val="0"/>
          <c:showPercent val="0"/>
          <c:showBubbleSize val="0"/>
        </c:dLbls>
        <c:smooth val="0"/>
        <c:axId val="1257075776"/>
        <c:axId val="1257088736"/>
      </c:lineChart>
      <c:catAx>
        <c:axId val="1257075776"/>
        <c:scaling>
          <c:orientation val="minMax"/>
        </c:scaling>
        <c:delete val="1"/>
        <c:axPos val="b"/>
        <c:numFmt formatCode="General" sourceLinked="1"/>
        <c:majorTickMark val="out"/>
        <c:minorTickMark val="none"/>
        <c:tickLblPos val="nextTo"/>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FEE6C"/>
            </a:solidFill>
            <a:round/>
          </a:ln>
          <a:effectLst/>
        </c:spPr>
        <c:marker>
          <c:symbol val="none"/>
        </c:marker>
        <c:dLbl>
          <c:idx val="0"/>
          <c:spPr>
            <a:noFill/>
            <a:ln>
              <a:solidFill>
                <a:schemeClr val="accent6">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FEE6C"/>
            </a:solidFill>
            <a:round/>
          </a:ln>
          <a:effectLst/>
        </c:spPr>
        <c:marker>
          <c:symbol val="none"/>
        </c:marker>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80157480314964E-2"/>
          <c:y val="4.7244117738246922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showLegendKey val="0"/>
          <c:showVal val="0"/>
          <c:showCatName val="0"/>
          <c:showSerName val="0"/>
          <c:showPercent val="0"/>
          <c:showBubbleSize val="0"/>
        </c:dLbls>
        <c:smooth val="0"/>
        <c:axId val="1257075776"/>
        <c:axId val="1257088736"/>
      </c:lineChart>
      <c:catAx>
        <c:axId val="1257075776"/>
        <c:scaling>
          <c:orientation val="minMax"/>
        </c:scaling>
        <c:delete val="1"/>
        <c:axPos val="b"/>
        <c:numFmt formatCode="General" sourceLinked="1"/>
        <c:majorTickMark val="out"/>
        <c:minorTickMark val="none"/>
        <c:tickLblPos val="nextTo"/>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FEE6C"/>
            </a:solidFill>
            <a:round/>
          </a:ln>
          <a:effectLst/>
        </c:spPr>
        <c:marker>
          <c:symbol val="none"/>
        </c:marker>
        <c:dLbl>
          <c:idx val="0"/>
          <c:spPr>
            <a:noFill/>
            <a:ln>
              <a:solidFill>
                <a:schemeClr val="accent6">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FEE6C"/>
            </a:solidFill>
            <a:round/>
          </a:ln>
          <a:effectLst/>
        </c:spPr>
        <c:marker>
          <c:symbol val="none"/>
        </c:marker>
      </c:pivotFmt>
      <c:pivotFmt>
        <c:idx val="4"/>
        <c:spPr>
          <a:solidFill>
            <a:schemeClr val="accent1"/>
          </a:solidFill>
          <a:ln w="28575" cap="rnd">
            <a:solidFill>
              <a:srgbClr val="6FEE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80157480314964E-2"/>
          <c:y val="4.7244117738246922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showLegendKey val="0"/>
          <c:showVal val="0"/>
          <c:showCatName val="0"/>
          <c:showSerName val="0"/>
          <c:showPercent val="0"/>
          <c:showBubbleSize val="0"/>
        </c:dLbls>
        <c:smooth val="0"/>
        <c:axId val="1257075776"/>
        <c:axId val="1257088736"/>
      </c:lineChart>
      <c:catAx>
        <c:axId val="1257075776"/>
        <c:scaling>
          <c:orientation val="minMax"/>
        </c:scaling>
        <c:delete val="1"/>
        <c:axPos val="b"/>
        <c:numFmt formatCode="General" sourceLinked="1"/>
        <c:majorTickMark val="out"/>
        <c:minorTickMark val="none"/>
        <c:tickLblPos val="nextTo"/>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FEE6C"/>
            </a:solidFill>
            <a:round/>
          </a:ln>
          <a:effectLst/>
        </c:spPr>
        <c:marker>
          <c:symbol val="none"/>
        </c:marker>
        <c:dLbl>
          <c:idx val="0"/>
          <c:spPr>
            <a:noFill/>
            <a:ln>
              <a:solidFill>
                <a:schemeClr val="accent6">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FEE6C"/>
            </a:solidFill>
            <a:round/>
          </a:ln>
          <a:effectLst/>
        </c:spPr>
        <c:marker>
          <c:symbol val="none"/>
        </c:marker>
      </c:pivotFmt>
      <c:pivotFmt>
        <c:idx val="4"/>
        <c:spPr>
          <a:solidFill>
            <a:schemeClr val="accent1"/>
          </a:solidFill>
          <a:ln w="28575" cap="rnd">
            <a:solidFill>
              <a:srgbClr val="6FEE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FEE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80157480314964E-2"/>
          <c:y val="4.7244117738246922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showLegendKey val="0"/>
          <c:showVal val="0"/>
          <c:showCatName val="0"/>
          <c:showSerName val="0"/>
          <c:showPercent val="0"/>
          <c:showBubbleSize val="0"/>
        </c:dLbls>
        <c:smooth val="0"/>
        <c:axId val="1257075776"/>
        <c:axId val="1257088736"/>
      </c:lineChart>
      <c:catAx>
        <c:axId val="1257075776"/>
        <c:scaling>
          <c:orientation val="minMax"/>
        </c:scaling>
        <c:delete val="1"/>
        <c:axPos val="b"/>
        <c:numFmt formatCode="General" sourceLinked="1"/>
        <c:majorTickMark val="out"/>
        <c:minorTickMark val="none"/>
        <c:tickLblPos val="nextTo"/>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TREND REPORT!PivotTable1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FEE6C"/>
            </a:solidFill>
            <a:round/>
          </a:ln>
          <a:effectLst/>
        </c:spPr>
        <c:marker>
          <c:symbol val="none"/>
        </c:marker>
        <c:dLbl>
          <c:idx val="0"/>
          <c:spPr>
            <a:noFill/>
            <a:ln>
              <a:solidFill>
                <a:schemeClr val="accent6">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FEE6C"/>
            </a:solidFill>
            <a:round/>
          </a:ln>
          <a:effectLst/>
        </c:spPr>
        <c:marker>
          <c:symbol val="none"/>
        </c:marker>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80231466004428E-2"/>
          <c:y val="4.724061744731738E-3"/>
          <c:w val="0.96124031007751942"/>
          <c:h val="0.89471925567171462"/>
        </c:manualLayout>
      </c:layout>
      <c:lineChart>
        <c:grouping val="standard"/>
        <c:varyColors val="0"/>
        <c:ser>
          <c:idx val="0"/>
          <c:order val="0"/>
          <c:tx>
            <c:strRef>
              <c:f>'SALES TREND REPORT'!$B$3</c:f>
              <c:strCache>
                <c:ptCount val="1"/>
                <c:pt idx="0">
                  <c:v>Total</c:v>
                </c:pt>
              </c:strCache>
            </c:strRef>
          </c:tx>
          <c:spPr>
            <a:ln w="28575"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0CC-4E1F-9106-0FFFAC14F83A}"/>
            </c:ext>
          </c:extLst>
        </c:ser>
        <c:dLbls>
          <c:showLegendKey val="0"/>
          <c:showVal val="0"/>
          <c:showCatName val="0"/>
          <c:showSerName val="0"/>
          <c:showPercent val="0"/>
          <c:showBubbleSize val="0"/>
        </c:dLbls>
        <c:smooth val="0"/>
        <c:axId val="1257075776"/>
        <c:axId val="1257088736"/>
      </c:lineChart>
      <c:catAx>
        <c:axId val="1257075776"/>
        <c:scaling>
          <c:orientation val="minMax"/>
        </c:scaling>
        <c:delete val="1"/>
        <c:axPos val="b"/>
        <c:numFmt formatCode="General" sourceLinked="1"/>
        <c:majorTickMark val="out"/>
        <c:minorTickMark val="none"/>
        <c:tickLblPos val="nextTo"/>
        <c:crossAx val="1257088736"/>
        <c:crosses val="autoZero"/>
        <c:auto val="1"/>
        <c:lblAlgn val="ctr"/>
        <c:lblOffset val="100"/>
        <c:noMultiLvlLbl val="0"/>
      </c:catAx>
      <c:valAx>
        <c:axId val="1257088736"/>
        <c:scaling>
          <c:orientation val="minMax"/>
        </c:scaling>
        <c:delete val="1"/>
        <c:axPos val="l"/>
        <c:numFmt formatCode="&quot;$&quot;#,##0.00" sourceLinked="1"/>
        <c:majorTickMark val="out"/>
        <c:minorTickMark val="none"/>
        <c:tickLblPos val="nextTo"/>
        <c:crossAx val="125707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22-opute Godswill.xlsx]SALES BY PRODUCT CATEGORY!PivotTable1</c:name>
    <c:fmtId val="30"/>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900" b="1">
                <a:solidFill>
                  <a:srgbClr val="176F41"/>
                </a:solidFill>
              </a:rPr>
              <a:t>Product</a:t>
            </a:r>
            <a:r>
              <a:rPr lang="en-US" sz="1900" b="1" baseline="0">
                <a:solidFill>
                  <a:srgbClr val="176F41"/>
                </a:solidFill>
              </a:rPr>
              <a:t> Category by </a:t>
            </a:r>
            <a:r>
              <a:rPr lang="en-US" sz="1600" b="1" baseline="0">
                <a:solidFill>
                  <a:srgbClr val="176F41"/>
                </a:solidFill>
              </a:rPr>
              <a:t>Revenue generated</a:t>
            </a:r>
            <a:endParaRPr lang="en-US" sz="1600" b="1">
              <a:solidFill>
                <a:srgbClr val="176F41"/>
              </a:solidFill>
            </a:endParaRPr>
          </a:p>
        </c:rich>
      </c:tx>
      <c:layout>
        <c:manualLayout>
          <c:xMode val="edge"/>
          <c:yMode val="edge"/>
          <c:x val="2.7106426425659566E-2"/>
          <c:y val="1.9310346924827252E-2"/>
        </c:manualLayout>
      </c:layout>
      <c:overlay val="1"/>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pivotFmt>
      <c:pivotFmt>
        <c:idx val="3"/>
        <c:spPr>
          <a:solidFill>
            <a:schemeClr val="accent5"/>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bg2"/>
          </a:solidFill>
          <a:ln>
            <a:noFill/>
          </a:ln>
          <a:effectLst/>
        </c:spPr>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bg2"/>
          </a:solidFill>
          <a:ln>
            <a:noFill/>
          </a:ln>
          <a:effectLst/>
        </c:spPr>
      </c:pivotFmt>
      <c:pivotFmt>
        <c:idx val="15"/>
        <c:spPr>
          <a:solidFill>
            <a:schemeClr val="bg2"/>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tx1"/>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5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75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50000"/>
            </a:schemeClr>
          </a:solidFill>
          <a:ln>
            <a:noFill/>
          </a:ln>
          <a:effectLst/>
        </c:spPr>
      </c:pivotFmt>
      <c:pivotFmt>
        <c:idx val="38"/>
        <c:spPr>
          <a:solidFill>
            <a:schemeClr val="accent1">
              <a:lumMod val="50000"/>
            </a:schemeClr>
          </a:solidFill>
          <a:ln>
            <a:noFill/>
          </a:ln>
          <a:effectLst/>
        </c:spPr>
      </c:pivotFmt>
      <c:pivotFmt>
        <c:idx val="39"/>
        <c:spPr>
          <a:solidFill>
            <a:schemeClr val="accent1">
              <a:lumMod val="50000"/>
            </a:schemeClr>
          </a:solidFill>
          <a:ln>
            <a:noFill/>
          </a:ln>
          <a:effectLst/>
        </c:spPr>
      </c:pivotFmt>
      <c:pivotFmt>
        <c:idx val="40"/>
        <c:spPr>
          <a:solidFill>
            <a:schemeClr val="tx2"/>
          </a:solidFill>
          <a:ln>
            <a:noFill/>
          </a:ln>
          <a:effectLst/>
        </c:spPr>
      </c:pivotFmt>
      <c:pivotFmt>
        <c:idx val="41"/>
        <c:spPr>
          <a:solidFill>
            <a:schemeClr val="accent1"/>
          </a:solidFill>
          <a:ln>
            <a:noFill/>
          </a:ln>
          <a:effectLst/>
        </c:spPr>
      </c:pivotFmt>
      <c:pivotFmt>
        <c:idx val="42"/>
        <c:spPr>
          <a:solidFill>
            <a:srgbClr val="00B0F0"/>
          </a:solidFill>
          <a:ln>
            <a:noFill/>
          </a:ln>
          <a:effectLst/>
        </c:spPr>
      </c:pivotFmt>
      <c:pivotFmt>
        <c:idx val="43"/>
        <c:spPr>
          <a:solidFill>
            <a:schemeClr val="accent4">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tx2"/>
          </a:solidFill>
          <a:ln>
            <a:noFill/>
          </a:ln>
          <a:effectLst/>
        </c:spPr>
      </c:pivotFmt>
      <c:pivotFmt>
        <c:idx val="46"/>
        <c:spPr>
          <a:solidFill>
            <a:schemeClr val="accent1"/>
          </a:solidFill>
          <a:ln>
            <a:noFill/>
          </a:ln>
          <a:effectLst/>
        </c:spPr>
      </c:pivotFmt>
      <c:pivotFmt>
        <c:idx val="47"/>
        <c:spPr>
          <a:solidFill>
            <a:srgbClr val="00B0F0"/>
          </a:solidFill>
          <a:ln>
            <a:noFill/>
          </a:ln>
          <a:effectLst/>
        </c:spPr>
      </c:pivotFmt>
      <c:pivotFmt>
        <c:idx val="48"/>
        <c:spPr>
          <a:solidFill>
            <a:schemeClr val="accent4">
              <a:lumMod val="75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pivotFmt>
      <c:pivotFmt>
        <c:idx val="51"/>
        <c:spPr>
          <a:solidFill>
            <a:schemeClr val="accent1"/>
          </a:solidFill>
          <a:ln>
            <a:noFill/>
          </a:ln>
          <a:effectLst/>
        </c:spPr>
      </c:pivotFmt>
      <c:pivotFmt>
        <c:idx val="52"/>
        <c:spPr>
          <a:solidFill>
            <a:srgbClr val="00B0F0"/>
          </a:solidFill>
          <a:ln>
            <a:noFill/>
          </a:ln>
          <a:effectLst/>
        </c:spPr>
      </c:pivotFmt>
      <c:pivotFmt>
        <c:idx val="53"/>
        <c:spPr>
          <a:solidFill>
            <a:schemeClr val="accent4">
              <a:lumMod val="75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tx2"/>
          </a:solidFill>
          <a:ln>
            <a:noFill/>
          </a:ln>
          <a:effectLst/>
        </c:spPr>
      </c:pivotFmt>
      <c:pivotFmt>
        <c:idx val="56"/>
        <c:spPr>
          <a:solidFill>
            <a:schemeClr val="accent1"/>
          </a:solidFill>
          <a:ln>
            <a:noFill/>
          </a:ln>
          <a:effectLst/>
        </c:spPr>
      </c:pivotFmt>
      <c:pivotFmt>
        <c:idx val="57"/>
        <c:spPr>
          <a:solidFill>
            <a:srgbClr val="00B0F0"/>
          </a:solidFill>
          <a:ln>
            <a:noFill/>
          </a:ln>
          <a:effectLst/>
        </c:spPr>
      </c:pivotFmt>
      <c:pivotFmt>
        <c:idx val="58"/>
        <c:spPr>
          <a:solidFill>
            <a:schemeClr val="accent4">
              <a:lumMod val="75000"/>
            </a:schemeClr>
          </a:solidFill>
          <a:ln>
            <a:noFill/>
          </a:ln>
          <a:effectLst/>
        </c:spPr>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tx2"/>
          </a:solidFill>
          <a:ln>
            <a:noFill/>
          </a:ln>
          <a:effectLst/>
        </c:spPr>
      </c:pivotFmt>
      <c:pivotFmt>
        <c:idx val="61"/>
        <c:spPr>
          <a:solidFill>
            <a:schemeClr val="accent1"/>
          </a:solidFill>
          <a:ln>
            <a:noFill/>
          </a:ln>
          <a:effectLst/>
        </c:spPr>
      </c:pivotFmt>
      <c:pivotFmt>
        <c:idx val="62"/>
        <c:spPr>
          <a:solidFill>
            <a:srgbClr val="00B0F0"/>
          </a:solidFill>
          <a:ln>
            <a:noFill/>
          </a:ln>
          <a:effectLst/>
        </c:spPr>
      </c:pivotFmt>
      <c:pivotFmt>
        <c:idx val="63"/>
        <c:spPr>
          <a:solidFill>
            <a:schemeClr val="accent4">
              <a:lumMod val="75000"/>
            </a:schemeClr>
          </a:solidFill>
          <a:ln>
            <a:noFill/>
          </a:ln>
          <a:effectLst/>
        </c:spPr>
      </c:pivotFmt>
      <c:pivotFmt>
        <c:idx val="64"/>
        <c:spPr>
          <a:solidFill>
            <a:schemeClr val="tx1"/>
          </a:solidFill>
          <a:ln>
            <a:noFill/>
          </a:ln>
          <a:effectLst/>
        </c:spPr>
      </c:pivotFmt>
      <c:pivotFmt>
        <c:idx val="65"/>
        <c:spPr>
          <a:solidFill>
            <a:schemeClr val="tx2">
              <a:lumMod val="75000"/>
            </a:schemeClr>
          </a:solidFill>
          <a:ln>
            <a:noFill/>
          </a:ln>
          <a:effectLst/>
        </c:spPr>
      </c:pivotFmt>
      <c:pivotFmt>
        <c:idx val="66"/>
        <c:spPr>
          <a:solidFill>
            <a:schemeClr val="tx1">
              <a:lumMod val="65000"/>
              <a:lumOff val="35000"/>
            </a:schemeClr>
          </a:solidFill>
          <a:ln>
            <a:noFill/>
          </a:ln>
          <a:effectLst/>
        </c:spPr>
      </c:pivotFmt>
      <c:pivotFmt>
        <c:idx val="67"/>
        <c:spPr>
          <a:solidFill>
            <a:schemeClr val="tx2">
              <a:lumMod val="60000"/>
              <a:lumOff val="40000"/>
            </a:schemeClr>
          </a:solidFill>
          <a:ln>
            <a:noFill/>
          </a:ln>
          <a:effectLst/>
        </c:spPr>
      </c:pivotFmt>
      <c:pivotFmt>
        <c:idx val="68"/>
        <c:spPr>
          <a:solidFill>
            <a:schemeClr val="tx2">
              <a:lumMod val="40000"/>
              <a:lumOff val="60000"/>
            </a:schemeClr>
          </a:solidFill>
          <a:ln>
            <a:noFill/>
          </a:ln>
          <a:effectLst/>
        </c:spPr>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tx1"/>
          </a:solidFill>
          <a:ln>
            <a:noFill/>
          </a:ln>
          <a:effectLst/>
        </c:spPr>
      </c:pivotFmt>
      <c:pivotFmt>
        <c:idx val="71"/>
        <c:spPr>
          <a:solidFill>
            <a:schemeClr val="tx2">
              <a:lumMod val="75000"/>
            </a:schemeClr>
          </a:solidFill>
          <a:ln>
            <a:noFill/>
          </a:ln>
          <a:effectLst/>
        </c:spPr>
      </c:pivotFmt>
      <c:pivotFmt>
        <c:idx val="72"/>
        <c:spPr>
          <a:solidFill>
            <a:schemeClr val="tx1">
              <a:lumMod val="65000"/>
              <a:lumOff val="35000"/>
            </a:schemeClr>
          </a:solidFill>
          <a:ln>
            <a:noFill/>
          </a:ln>
          <a:effectLst/>
        </c:spPr>
      </c:pivotFmt>
      <c:pivotFmt>
        <c:idx val="73"/>
        <c:spPr>
          <a:solidFill>
            <a:schemeClr val="tx2">
              <a:lumMod val="60000"/>
              <a:lumOff val="40000"/>
            </a:schemeClr>
          </a:solidFill>
          <a:ln>
            <a:noFill/>
          </a:ln>
          <a:effectLst/>
        </c:spPr>
      </c:pivotFmt>
      <c:pivotFmt>
        <c:idx val="74"/>
        <c:spPr>
          <a:solidFill>
            <a:schemeClr val="tx2">
              <a:lumMod val="40000"/>
              <a:lumOff val="60000"/>
            </a:schemeClr>
          </a:solidFill>
          <a:ln>
            <a:noFill/>
          </a:ln>
          <a:effectLst/>
        </c:spPr>
      </c:pivotFmt>
      <c:pivotFmt>
        <c:idx val="75"/>
        <c:spPr>
          <a:solidFill>
            <a:srgbClr val="176F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176F41"/>
          </a:solidFill>
          <a:ln>
            <a:noFill/>
          </a:ln>
          <a:effectLst/>
        </c:spPr>
      </c:pivotFmt>
      <c:pivotFmt>
        <c:idx val="77"/>
        <c:spPr>
          <a:solidFill>
            <a:srgbClr val="176F41"/>
          </a:solidFill>
          <a:ln>
            <a:noFill/>
          </a:ln>
          <a:effectLst/>
        </c:spPr>
      </c:pivotFmt>
      <c:pivotFmt>
        <c:idx val="78"/>
        <c:spPr>
          <a:solidFill>
            <a:srgbClr val="176F41"/>
          </a:solidFill>
          <a:ln>
            <a:noFill/>
          </a:ln>
          <a:effectLst/>
        </c:spPr>
      </c:pivotFmt>
      <c:pivotFmt>
        <c:idx val="79"/>
        <c:spPr>
          <a:solidFill>
            <a:srgbClr val="176F41"/>
          </a:solidFill>
          <a:ln>
            <a:noFill/>
          </a:ln>
          <a:effectLst/>
        </c:spPr>
      </c:pivotFmt>
      <c:pivotFmt>
        <c:idx val="80"/>
        <c:spPr>
          <a:solidFill>
            <a:srgbClr val="176F41"/>
          </a:solidFill>
          <a:ln>
            <a:noFill/>
          </a:ln>
          <a:effectLst/>
        </c:spPr>
      </c:pivotFmt>
    </c:pivotFmts>
    <c:plotArea>
      <c:layout>
        <c:manualLayout>
          <c:layoutTarget val="inner"/>
          <c:xMode val="edge"/>
          <c:yMode val="edge"/>
          <c:x val="0.14317516708549563"/>
          <c:y val="0.14771555333607375"/>
          <c:w val="0.64472467869181316"/>
          <c:h val="0.71235482519256488"/>
        </c:manualLayout>
      </c:layout>
      <c:barChart>
        <c:barDir val="col"/>
        <c:grouping val="clustered"/>
        <c:varyColors val="0"/>
        <c:ser>
          <c:idx val="0"/>
          <c:order val="0"/>
          <c:tx>
            <c:strRef>
              <c:f>'SALES BY PRODUCT CATEGORY'!$B$3</c:f>
              <c:strCache>
                <c:ptCount val="1"/>
                <c:pt idx="0">
                  <c:v>Total</c:v>
                </c:pt>
              </c:strCache>
            </c:strRef>
          </c:tx>
          <c:spPr>
            <a:solidFill>
              <a:srgbClr val="176F41"/>
            </a:solidFill>
            <a:ln>
              <a:noFill/>
            </a:ln>
            <a:effectLst/>
          </c:spPr>
          <c:invertIfNegative val="0"/>
          <c:dPt>
            <c:idx val="0"/>
            <c:invertIfNegative val="0"/>
            <c:bubble3D val="0"/>
            <c:spPr>
              <a:solidFill>
                <a:srgbClr val="176F41"/>
              </a:solidFill>
              <a:ln>
                <a:noFill/>
              </a:ln>
              <a:effectLst/>
            </c:spPr>
            <c:extLst>
              <c:ext xmlns:c16="http://schemas.microsoft.com/office/drawing/2014/chart" uri="{C3380CC4-5D6E-409C-BE32-E72D297353CC}">
                <c16:uniqueId val="{00000001-3E3C-43FB-A7F8-A5ED82455702}"/>
              </c:ext>
            </c:extLst>
          </c:dPt>
          <c:dPt>
            <c:idx val="1"/>
            <c:invertIfNegative val="0"/>
            <c:bubble3D val="0"/>
            <c:spPr>
              <a:solidFill>
                <a:srgbClr val="176F41"/>
              </a:solidFill>
              <a:ln>
                <a:noFill/>
              </a:ln>
              <a:effectLst/>
            </c:spPr>
            <c:extLst>
              <c:ext xmlns:c16="http://schemas.microsoft.com/office/drawing/2014/chart" uri="{C3380CC4-5D6E-409C-BE32-E72D297353CC}">
                <c16:uniqueId val="{00000003-3E3C-43FB-A7F8-A5ED82455702}"/>
              </c:ext>
            </c:extLst>
          </c:dPt>
          <c:dPt>
            <c:idx val="2"/>
            <c:invertIfNegative val="0"/>
            <c:bubble3D val="0"/>
            <c:spPr>
              <a:solidFill>
                <a:srgbClr val="176F41"/>
              </a:solidFill>
              <a:ln>
                <a:noFill/>
              </a:ln>
              <a:effectLst/>
            </c:spPr>
            <c:extLst>
              <c:ext xmlns:c16="http://schemas.microsoft.com/office/drawing/2014/chart" uri="{C3380CC4-5D6E-409C-BE32-E72D297353CC}">
                <c16:uniqueId val="{00000005-3E3C-43FB-A7F8-A5ED82455702}"/>
              </c:ext>
            </c:extLst>
          </c:dPt>
          <c:dPt>
            <c:idx val="3"/>
            <c:invertIfNegative val="0"/>
            <c:bubble3D val="0"/>
            <c:spPr>
              <a:solidFill>
                <a:srgbClr val="176F41"/>
              </a:solidFill>
              <a:ln>
                <a:noFill/>
              </a:ln>
              <a:effectLst/>
            </c:spPr>
            <c:extLst>
              <c:ext xmlns:c16="http://schemas.microsoft.com/office/drawing/2014/chart" uri="{C3380CC4-5D6E-409C-BE32-E72D297353CC}">
                <c16:uniqueId val="{00000007-3E3C-43FB-A7F8-A5ED82455702}"/>
              </c:ext>
            </c:extLst>
          </c:dPt>
          <c:dPt>
            <c:idx val="4"/>
            <c:invertIfNegative val="0"/>
            <c:bubble3D val="0"/>
            <c:spPr>
              <a:solidFill>
                <a:srgbClr val="176F41"/>
              </a:solidFill>
              <a:ln>
                <a:noFill/>
              </a:ln>
              <a:effectLst/>
            </c:spPr>
            <c:extLst>
              <c:ext xmlns:c16="http://schemas.microsoft.com/office/drawing/2014/chart" uri="{C3380CC4-5D6E-409C-BE32-E72D297353CC}">
                <c16:uniqueId val="{00000009-3E3C-43FB-A7F8-A5ED82455702}"/>
              </c:ext>
            </c:extLst>
          </c:dPt>
          <c:dLbls>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3E3C-43FB-A7F8-A5ED82455702}"/>
            </c:ext>
          </c:extLst>
        </c:ser>
        <c:dLbls>
          <c:showLegendKey val="0"/>
          <c:showVal val="0"/>
          <c:showCatName val="0"/>
          <c:showSerName val="0"/>
          <c:showPercent val="0"/>
          <c:showBubbleSize val="0"/>
        </c:dLbls>
        <c:gapWidth val="70"/>
        <c:overlap val="26"/>
        <c:axId val="588955168"/>
        <c:axId val="588949888"/>
      </c:barChart>
      <c:catAx>
        <c:axId val="58895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100" b="1" i="0" u="none" strike="noStrike" kern="1200" baseline="0">
                <a:solidFill>
                  <a:schemeClr val="tx1"/>
                </a:solidFill>
                <a:latin typeface="+mn-lt"/>
                <a:ea typeface="+mn-ea"/>
                <a:cs typeface="+mn-cs"/>
              </a:defRPr>
            </a:pPr>
            <a:endParaRPr lang="en-US"/>
          </a:p>
        </c:txPr>
        <c:crossAx val="588949888"/>
        <c:crosses val="autoZero"/>
        <c:auto val="1"/>
        <c:lblAlgn val="ctr"/>
        <c:lblOffset val="100"/>
        <c:noMultiLvlLbl val="0"/>
      </c:catAx>
      <c:valAx>
        <c:axId val="58894988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crossAx val="58895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Calibri" panose="020F0502020204030204"/>
            </a:rPr>
            <a:t>State Performance by Revenue</a:t>
          </a:r>
        </a:p>
      </cx:txPr>
    </cx:title>
    <cx:plotArea>
      <cx:plotAreaRegion>
        <cx:series layoutId="regionMap" uniqueId="{3017285F-3573-4374-89C4-64C35100BB85}">
          <cx:tx>
            <cx:txData>
              <cx:f>_xlchart.v5.2</cx:f>
              <cx:v>Sum of Revenue</cx:v>
            </cx:txData>
          </cx:tx>
          <cx:dataLabels>
            <cx:numFmt formatCode="$#,##0" sourceLinked="0"/>
            <cx:visibility seriesName="0" categoryName="1" value="0"/>
            <cx:separator> </cx:separator>
          </cx:dataLabels>
          <cx:dataId val="0"/>
          <cx:layoutPr>
            <cx:geography cultureLanguage="en-US" cultureRegion="US" attribution="Powered by Bing">
              <cx:geoCache provider="{E9337A44-BEBE-4D9F-B70C-5C5E7DAFC167}">
                <cx:binary>3Htpb9tI1u5fafTnS3fty2B6gJeUZMl2bMd2nHZ/IZzYYXEpLlVcivz19yhO0rY6r3syGOCib5DE
sKhSVZ31Oc85+ufH8I+P1eO9+ynYqvb/+Bh+/dn0ffuPX37xH82jvfdHNv/oGt986o8+NvaX5tOn
/OPjLw/ufsrr7BeCMPvlo7l3/WP4+V//hE/LHpuz5uN9nzf12+HRzVePfqh6/8qz7z766f7B5vUq
973LP/b415+T//n5p8e6z/v5Zm4ff/35xfOff/rl8FP+tONPFRyqHx5gLZVHhDMhNNbo8x/8809V
U2dfHkcY6yOBJZGYYf35z9e9z+8trE/uq/xT4+r8/uvr3zvT5xPdPzy4R+/hOp9/vlz74g5PV/zY
DHW/l1oGAvz153d13j8+/HTd3/eP/uefct8kT29Imv1F3l1/vvkvL+X+r38evACyOHjlmWoOBfdX
j/6kmd3qNSn8mGYYO6JKI0m+Cl4daoYdCa6pVIh/3fVJJ7uHe9N8fenfV8eXZQea2F/pb6iJ5OI1
AfyYJqg60lpxjhj5vo8gfsSZVFTQr5t+cY6matz9w3+gi+TbygN17O/1N1DH60d8HrxevPNHg5c+
4ohyyah8UgzI/3nw0voI4b1aNHuKXeylfg5Cyv9+rO/Hr4PlL27y94hXm7OvAvlemPgxLyHqiGvO
MaNPukAHmUSRI6YkZUR9ecOBs2zAV/KH/yCNfFt44Cr7y/0NdXJx9d/TCaNHmiqhBBVPDqBfOggm
6IhzhRGEr6+7PoWuC/eYNfXX175nHd/3ia/rDnSxv9TfUBe7/6J/MHSEIZdDOPoSjA50ofQRZqAp
rvg3XT1FpC9Zvaryusn9j+tk923lgVb21/sbauX89jUZ/FjUovqIcsEYp+hJ6n9CWQJQFqdKKvUV
Hz/XyvnjeP+fBK2v6w40sr/a31Ejd/89jTACMUsTRukXtHWQ1CU/EvCEC/zFj8TXvZ/85Pxx+umu
ceXXV//92PXHykOtwPX+hlq5OX9NBj/oJ/xIMaI1+uIGiLzMJEocUUbJvlT8hpGf+8nNY11D8ff4
+NqRvp9Sni090Mv+gn9Dvby7eU0IP6gXiF+ESikIf5L7gV4wxkdCKkKIOPCTd/29ee0c31fG06oD
Pewv9DfUw/v/ee3+P6YHJo8YxlCLKPmURwBPPS9FnpCWYAox/L088v7eG2CR+v8Ecz1fe6CZ/RX/
jprZ/Rc1AzQJ1ZpT8SXD/xl3SUqgctHfr0ve5/5jU/v8PwDDz5Ye6gUu+P9CL/879/WNJFzd9/fr
z+ziM/rr9aefQwWwnQdLXyMpn3LD7uHXnyGNK3CWb6zl/kO+rPwCfJvpW1X4bMHjve9//TnSAKu5
BHpSAQsARNj0+PQywDYG6UgAc6klERyiX9243vz6MxRFHAmsgDZQGjySASvgm+HzI3REhdRcIaEU
k/tVX+922VQzVETfBPHl95/qwV42ed37/QeDabVP79sflCNNKWdUEMo0IpJSgDLtx/srcHR4O/4/
s+37sZa5OkGdDadR4dvVVJLyKlBePth6XHZT2jOZyIpnWVzOaXlOqXV3RSF8G6fSR5c4kyiLTTuP
l4z26W25kJSddnkIH02fF9mu6WiXJmk90CjpwpJtBpzqdRoqeTvzfno7uJb62M22Sk9MoaqHcZz5
2dgN6taEpnDxUjll415hMq/qJtikp9POaJbvRj5W68LQbohFrXke15aKB4VF9VgjucuqajkvdBjf
93nHrso0GpbVMLbpp54u9iKLxjdlNZg6nuu8uFtS2t2zNBvfh6yzCZm9+RRR2maxznjXxS7Iy1aM
2q7CTP1lwbPwZpEOT7F2bP4kbRS9bepiGmM52ux8jEi6E6yVIs68wnk8NZSdEVOURYKKBes4TIO5
X9qs3lYi9Ws+puYOzzQLCVVWHXvJqYy1FdX1jI25GPiw483QZNt8qrLjbNHqhBM2HqMmtHS1WCuu
rcmW/HipTSXjeTYkxA0mwxKbssbZqmaNfpgxCm0yKydRYqpxOBXa9QlJy+5kSMtiXXgslpg0jUiq
LuhTt4xlzItZ1DHSrTpnc6PzTTrK4WqUtttms2m2ZYT8BxOlqk90bqsmYYtor7tq6k+wVFHSkADC
0VXVx1FbVxdYphLFKluKi1zMzZBkXI6/VQOaYzGwXp1i00gTm2UOIU4zqU8oEmm/yuxUrCtfu4va
DC7JQ97NMRVtt2JTME2MoElx0heWmliYkF2qvv3k4VOGLeqXLl9FijafpqysWEynpZrinC39x9pR
EW3TVFW36RCK3Ujrbr3ouaC7thbjfYu1uhSTG1dNW/ONjqiTcUE7usGNplkccjxdLL3PitsOlWkY
3y6RyptqjZeo748lHvOraZbm0hI94+oBtEsmlhjrcpBtYLWJ/Bla3Nzk50hIm55nvtMrixsSY9aP
dxOfxE7NmLzLFOyR+m5VVMs18yFbTzXFPOkxHuttWuN2EzWpjWvw0GTURJ7MPSs33pYW3Ju6ZG5c
0mblFMsau5hp1qw9am3S9TjdFKac40j2ZJ0HPcQuo3ZVlfiU9Bq/aRCWcWjYFWJ6W02Iny0tS5MZ
ObQOqJ63InQg9yGE1sYjm9NVrRxYIKs7dB7xZhYr7weaUJfqTV4s/Qmxzq7zYpY7GvR0NtAlX02d
LY87Pgx93NilOxW+G05IMdirGdesjvNG8GNR1P1VpP3bxYBjlk3xaVH0HY4gDFSqfFCuYatCCBM3
eeFvooFU59UUZOLrzsR54PjasRKilrJ1FWvPdIxEEZK0JCYupkwlI2F9PA7lJWX1rWauSrIFHDtq
6LbosysharO2DS6StKvrpMjRyOPgK7V1i7BJKMVe2s10gyg1KzTOeicbtqxJJcZjRQpyJdrBryA8
leuZOb6TnNk1NFN4iDPmhzdcl2jdhSKczZYv72nF2G/S8mJlSlfFoTXmRA69vJGSD6ftJKoAQcpD
TJENxI4452n0ES2hacHzs+UCleC9EPSLy2WE2Fhmrdo2C2PbIdLF2YQjHdaZz8ImJcuQ9DWyyeR5
lmR52Z3bYcyPpbPqtHTkHgk9x0OWj5uQ2iXmuuvX1o+oBDeszdupMuU6XWhdJSKrQNqEFuCoKtL6
Y57PkEQUHfMOlNCHxKRRfZZz4y8Kr6aHEfFoPdblcmx7gtZItfWqYHLYOK/sb12j1KXps3ZOMlD/
b4XiG8KH6JyXob7A45Cv5ipDN0ST6pOfWX8nccauZRfqt11nsvWMO7SpWja8GZde7QrEfBlXZVSu
uSIVBF2TD9c5o82JMp7eUw8mTWk3nQXS1W8Ubv02RBxfeM/LJPTdAF41zdcZtkLFNsL5eT/q/gzp
dDzzvEq3yPAiGQtfrhqmIGRW2QXWvtjmaZRfRuUgVVyOSiYZxPwVLXpC4rQ3ywmqWrOxZWHPc1Kl
70y9TCa2Lfe/zznJy3iJxvyMjKXfepJ2Pl5w+GD7oUwW2i43dKQkadNCuhhotz6LZeffddlEzhaT
TmfL1IxZXAlUgL115oqLAV+TbCSbpSna1Tx1/ZyIuTfv2671l3QR4dL4Js1iCEzdFjJ6uDdlV91Q
w6SPB4HDeppomSDClqQAqzzhrn/bD7MvLjJHcd//hjqhSxLPYsIl+m2OsqreNkG6/D3jJK37pG/E
AJmoRKq4WBozkrimg10PWHSrmY7BrlsUlgfVj2KdlnOdOJdDCDaU4TF2bkrjzMzD8YTszRRCd5yX
U7YGI013oMpqNdR19Za2c7/itTwZsqhddcLlyfOG7Qt49bFpZ5dn5kuv/Nuv/7ppLPz93MH948V9
q/2P39587dG/+q7jx2YPLv3hm/b4+Ntn/dEr3mPSb43jA5T71NX/ChN/5OG/h48JxQK/ho//oK3+
ANVfFn3ByBIfKY4JcJgMSy3UM5ws9ZEUYDuAkwW0OJkACPsVJ3PongEbjSAnYugiSKAW/sDJQL5R
rjFFQFfvgfdXAbxQJNQE38HJgNKfo2SmuKAM0BbliGslBHqJkvEouhGhrNmNKirzpKwzfkHd1J4D
glCrZ6L5zl4A+/+0l9IYgSw0FOwK6N7niHz0KFo6heudpBM+X8YZnxcD1bczSOCs6xa9fn2//ec9
qwD2d2PQNyYSSaDPqDq4m4soka1CsJ/FZRZPgAXSuAgLPu8Do7u6TwVd06DwzSRyAjzLtzrpO5eF
Mupwc44k9BsUaE9BifTysh2gxtB4V+8W1/cPtrJexBUe1dmMl3AV0kXfpgT91ZW/I2IO0qIMym6w
tb3ZPBdx7/vCTUranbM4XJaV6R/G2uZLrHMXLjM0//CGAoORwnZgvdAO3pd6zzcsUBRa4p3eAkJu
TqVq1Wo2vV5bRaPfaTqKu9fFiv8kVwltZ6EINGpAuERBAfl8w9ljtGSAQ7dDE7oSgnTqycWydGiM
1cRqm8xDjs9VVbOdnEt81Y28vq3bVk6JEeVSx5n08qqfCQEQOPJhjNvW+DMcdPhtJuovrACqYTjP
CyOUHO97T2CCCArRfcH7/Ly11SorIIVtuaQZu4ks4empzyrUbbKmUyvbZXg6wY2BDB/7nuMb8MEZ
EGDltgQZIU5yr+jOzi2/z6h3IjaiAlvyKWlO7aLweciNNScjIpVd127E55YgkENX8gWvBgLQPY5c
TuJpJovatDzg88jJyK0HiZrTNprDFe4hFaa5Tqt4cWPDP6gRcspKuCWMa1V2pDh1lIdLAVFCrHI1
lnpboDF6X1RGp1edIw5MLi06WsfSQxZsYrIYjB/BSkOexTiH3PqmZ3pkb0M9T2c1MlWeCF5M8agZ
I/HnQACFMvhpGH24jKY+XOqycyoJadfeDQVp7xaH6E6MZd8lYRzbO2XpeIm8b2yiuwXCV0CFXhfY
8XvlULhqXIVJbMe0vaOmD1dRF+Eb3g9qlS85vwdMSupdPetwJ5qeDIlguPEgWR6uBubgpm3JpthW
HjbUdZ7ekqIs3WpQE7+vBpCjWkaQm2P4ZtCgtEV1+nbqFn4vIhGu8szrdUcnTjdQ/vQq0SEybezH
NFw92aopMjokhubT8CYvg3+oiibKY4AO7R2Zx9Yf+2msliRyc2lOtExzuyu7qLN9LIhWw7pnxLw3
46RvVQvxdNUD9AprC8BbxGMt2H3jVXtnshacv7P6TM9O37aVLTKoXXKwjFC2UcKy0Jw6NIP6aduE
y2GY22k1CgIiBe9u70IorE2yply6zTg4UJI2mO4GU+RtPLX7u05MV1D1Nm77Wf4s9Dyhg2JrU0q5
0ioyPulqjc4/v6dP0zqxMyogbixmG8Fd3xrZj6sp03ozdB4M2OzdQ/Tl1G69L9L0FAMWb5PRT8Oq
7ILSVxRJ7CjQJxQNcV8pVJz3HbA3HKqfkoTrVtTIZXHahHTcVAVU4CmNYEFd5RjtJtzLEYoSG9Xm
xPs+j45nNBTTqsuiOb1qoR6uYtNw3sZQkffpGYG6+U5oAnB+jroxmQq/5JfTHJHpvQfxm2Nf1+Ox
J6ae4gWVTRypEQgCVOZxxEcOcvY3LU3NOuSzidNazxtNq6QzXdhNtGObVhX0nCsgDcZx2qZ6Dqd9
1oQbYYcmMW2ag9qj+ZzxUiReGvybR6RbtWYWcT8HfBEJ019NpvNZ3Kcj/x3qYw3FOPUTTTKdh9NR
RuOWqSaz8YBIU8WoWc6VG7KHzkPYFDaXJ3VuxHmLap3Gw8LmM1xPFhQeIt/ES5Hlx3W79A86N920
8hFA0RUYtz5haR/qlWaj1zGWMr2lte/rFY7Yu95kUZK77r7GsjgvKhiJ2HYThZCNJQWjc2gEk5pL
7h8Mhl9iiMvhCtIc2DKAaJNvRZRCll5cfjz7vr3juNe3djZDEctMWR7zcQxXSzDpbTCALVqG27vZ
l6GKx3K6D43KbgsuIGA2pLwpIlS8L9wCjqVnTncp8vlxDhTiTrUamVjrtF5BGm1uBLfrJS/qlYdr
ZBtMreInvFqQfr/4Fv9uXRQtu8WwQe2AO1zolEAtFTbUYVeeADdJPyzZyMXa1eVJpdv0bIra7NL5
wuwypW+kMd1t1bv72YZ99M/xrbd6WBUDyCnoAuI8b3F+opuW/D5E6TAllZnQm1ZP8poIVcpVPk47
TodoXNGpwwn4pTxlaePURtekvggDCcNmYeTWGtWumuDZEo/WTCs2k07GUcX4GFua1ue1jNiHClN4
fwsZy73jRpP0g1ZT7uKua9Nms6gmr2KSlQNLSl9GZ7bKBxCdTdt46Xn22yxVs81ZrS6koWhVwJWA
I2pdmcwk9XdNUIBF2p6rMzrlUVLiEdTaae3WeeUZBAtWZe7cKT/vZlqo8yjM+tbZprCrqBL+AVWF
PuMph/BWigWMphvAUnyG1CoL0d6Uhqw2q8w0+BwaDxBLO0EgphcaPmckcBrRG33mJ1BNUlUa4qAd
CjiTVDMwZi2DF4BQBBMMNNNnompzu8pICfHejW47mxHi4Mgz7481F+pMt1WUFKqBnQtIJjaBkdFw
2VLYXvCpq47lDHkcuPH8mKYLu1+AeBuSzyFQmiF1axlle9OfUGUu+6lWdTy0EzubhgEdAzO9QA3Y
R/6hpiVkDkwdWARZOn4vK8iPPucQpy3PK7eau6Yyq6rnEhDDDHXN8dOxcM1dddwZ4IxO0iiC9CUd
RPuucm47zkO47EfAvlZNGii9qp5PyEREDdXvbFl4g0VGaIKcbu4m0rXmggCVC8qyLdx1GhfYsnb5
LK9Y11YesoXoWWPjymRdWcWTQqMEEiAwcTKUvuiSvOPzdRo1/E4YDIF1dhGQNK0LeQx0deEhZeDs
ZpJLM0PcrMQZW6jyEBclvq6aCJ20g4k+9a7Tx2aYdIjhzIBy8kjqWxImMAtVOcjkne7xDXUdpKfM
hbrcOMnKBU6S7yXaNaDxis+Q1odWcUiYDkLVdbrXaFFQUNNgweIqD2qMcAdVQ08W4AJX3LdRvq4U
T9EtjmbGGcgJoOW1oHk0XI8iVKJN8slkRl1VJbRAIFW1GsgLSI3dnG/mMo8y/K5QgJaz4zD1PJYY
4EaFGr7OEUvLJK1svuqnKo0nMZNjG2nAIJIYdFIyZ86p7cckj8y8hn/dKjCuT6piad+A+rurRkFk
KUcT/RYinZ9EfZbGozeQemZltxk0beI5yGhTDROHe3RiVaPUxEjqUzb7NOksfZspCOnUZcMGowyv
3IItNAhCt2tGoFyyvsJXNYMQEwMMcXExujzGJSCSXtjyU5QzvlFjk2710tg87ruxWYEHTglEhU+1
6z5F1XyhA5t2YNcADIYOXei+RRfczuNqBHpO+Nluw8C7NWDj9DqIYd4UkERXRWemdWDsgqGevQlk
qN+CtiEv16E6gcxnj5kto1hGtE+UFetMV2+GkvmYgqgu0Nxm79pIDHeuIfS8GW3RJDRDACCBVql0
Va/EeEktvgLkV69JNKFPXKT8hNKR5XkMBHeB6riWE0vVNiqWRw5MizlnA7jwBsaYJrOyA6oaANrR
2CYRZGAfz8AwQgQxCCIE5CuIhn3RnA4diXaCzl37xpcVGCk0N/RZLhxY5DKmoHvoIRl/OZdTkScj
wO7V62XUvup4UZUoICIkTF9JgoGCOCz7l5EUGjJeu235Z9A/BkRitwe+r+/zp+pHKQWteeAyoOxn
ULi9rH50avqhaPp2W9UCgvEAzcSbzruoilnAzalg+9Llczh8fd8/lf6wL8wlcyGgMmVQKb7cF0ry
ihbQO9qGohL3fWTd1vpQhc0kDcSvxtYzMN0GYnE37lHu67sftB4ZbK40gaoYHBwOgQ9uDfQgsCdY
NNuJp1CALNAruFH7qFtID9EeiF74H7UOypI98iZMQXD/fIQvPeQv/MNTQ/Q5Z/acQvv/mbF70b//
Oq+w7/t+LrC/8TR7RvBFP/tgbPwZabcvzL9QdkIcaUB7AgZKYHYXMwT6e2ptw4TVEZB5MIkFBBwQ
dnsK6wtjBzwf9JslDLwT6NYCzfaFrsPwBQZKOHyBBz+1w+WP0HWfu9Z/OO5+R5hm0QIDdSWA0iIH
tFKFC1fjqeSPCqf9oNekZW1UJagd8+WW86Et71nkuN/U3QydglVPAjchgcYZ+pDVjtWfG5alPNGG
z5CcdFR320lDjfum4hbIgLgpA28/8LIvQrOKhKgKqB2kZPhRhmYerioTZHWvFG/Tj9TSTpxnIu9a
GlucezgKa7mzFwYjgDOrrOKubONm4taeYTl3cOTMWjyfEkvr4lPkxwbWvO5+L4POnoiCEUaAX+D3
oD7ww5fOL7HNByOMekwnaFoDsW9ZxbYVVCZObhef9fmULHkLX66qUJqTdPP69nhPsj3XkZaSwlgL
jDgAvYHhMC/3XwqALAKJ/KHAJYXg0jeUQ/dQaxJ1xcaFKXP9ykG/h5k4YtHS1pcTo7MnCYbe8kRP
emFqaOA0MF7g8DmMTHTw7PVDHvC+QPYCN0oRhxQAY2pKHoSoUpgOTCMazw3AeDjcYicpfm89r4e3
c6QGBuPL39zsSzh6Po/xvf3gSzxP3xWBqHzAxUronAJJjobzxTpOujhkpiug+ixz3sTO5xmMofzI
fhIrIJjhfvtvPDB8mADolGJcj3lxnhbZGF3XZTEjspJlJem69p2EK7++4V5gz5Quod1JYYRc0/1s
7H7s5aXSg8kjYhyNHkTkgItbZYvMZLepFOspimvXC/F7yVHa717f98DY9/tCJ1sSmEEExoce7tsO
cyObiKqHDKZMoDoAiqTyvxmWkhoo7yIf8osasnDfx8Y0MKn4F9d+mepAn1SyPbtNNINWIgSll9fO
+JhHKBj6EMlKdjThExL8HiJT1O+aJZfVeR7hBr+hZTcP16VHaDExjONVIJTXBfHSwuAknMBAEecK
JodAGvRAAb3IUTGXdfox1QvUPMdNB3Q/oOTUej0fw1AIQJzV61v++fLQyhBMwMwSkN+aHRi1ASxR
gV25ByYmCJubGcZLMGBBNw2erXOVMvG7G0DqXeyFBP9q0Dw6vR7zBrXTXxgCpocWyDWCMeB95IPh
qj+1OzK9FFy3ffTBQAPRRtsAtAtEGBsaaHImw1SwhSW59TNp46AJhVPxHJnh2raimJM6wq6+1hZG
N+pVxxtHruyY1/7D6zJ7icyY3KNBBm0ZjoEYB285CM7DlAI12y3hQ3C9AyNAQ4lAWChMlEdxcBS8
tSVlt3eaHuaK4EfeZsOPCgtjIaFrAS19mF1jkCte2q3qiO9nL5oPdcUjSIoFpIMFyOgZ9TM/pSmH
ROozoDrvbcFrSFGutQ7zrYqKCAZbOgPpa59KZwOr6nypxlMGXCow0a+LCx/aGHwJGMbiyH6OGExc
iIOEH+hUt7pe6Acg/EVk10Xv22q47JY+b+tk6uYODhdJO8KzZu5sM69UuczR9dS26c5rVxVZYpcF
zafWdNDzioGEhXmjZOAoqq6E1dkCE2FUB8gxJCpgFOUELbqCTy3zdIIZlL+4EPRPXwRKqDEBFgMw
holdART7QcQAy6y7sR7b3yVveMGTFrqcYIppOgANlOAFyjfgRuen6FkNDJ4Nn8NJi1MFj6BopqLb
DBP9a4dmh1GcAHzTkByhZQNd1z+ZRRlKb1PTtL+3DryoW1NfKvaGYEPnU+qHGcQBMxDVAmxamGcZ
D8ZNnUkg4E/iKuuWNNo6y4rl1kWDF+cqF3vEFdhoK31cDnyvnsZTDSY0j5KPV60ryuV2qUQ5lTGq
qj0KyEH6oKCm1gZepNCuX26VDQF0R2FaDX74BWW9WsHcBPUbIYe97sqQ5YDYus/bQ9MpAkJLNaGA
j2gAjcHJ86jeg62+5ba8D17UXbvRo8PjNUyGLP2Zc2W6n6ywjtgkylIbthkDtHIHtFTKbkc0YjAy
qTIAbmNXN4D5XreNwxAO0odeLaRuaEkLDhzVS6ek6VxnGCi134Fy8EDcB4Jk62G6sGiqHR26CQLF
6zseRiMiIRYRDHkbA278047eIW8mS6c7ugx7Y5wGtg9/xMsSkrcYOy5+Twu6gBFOZIAxuDcSAgvY
6evH2NcHL5yCSgFTAJC4OIEeIZQdL2++0HHoIi3srYUWZg8tjWbg0WMDnQGIRqb0NV67VDb55ehh
snCKW8ObbJ2pnoxNDH3gqRqBo8q60ypV4jpQV6k59lCDjle9ilCedBxGpk7BiIDfhvGgFDgHlgI0
BGc3COywGQ2gi11alP3e80f40tYFfLFBtjCDWDoaxuPXb3wY1xSFBAVwA24Nt6VQZL28cSlS6JJ0
Xr4bhxpBVcCdI1AVjMvebhmALLY1eApgtqHUFH5k/edSIRLt3qQpNGpIep0GsTdp0uWAK7d5S+g+
RHaLR3jTVdBAg4lRPpfgdelk90UKBh4MvFPiDtzo9SuRg8imAAEpSJsQ1UCDGAiPl1eC5qeFQaOa
vFM9zO22m77N9gfoIwrdo//L3rc1x4mr7f4iqgCJg26B7vY5iR1nJblRxckMQuIgCQQSv/57iL32
Wsl8NVN7X++5GFfsdjcIHd73OfltHcPBE3BtXACthjQ1T44txWqDgyYCYRpuE58d35oM8PVvAKgL
emhij3EwYZvyB248XtWB08HbhHbI57OKCkuAkdqVzHXAeYHb/Ydb+63KxK1BbkLTBEsF5Mxf1AyL
V0nRuyk8kxaEiqqAwGJqAXvtpu9LXKoUQuNlMvunIh2P83GIpgQPxOdD34bTPuTJ0oLritz2jCrV
Yji2QhLMPrLu2E3GDjK99UK3Xh+7m8O2edWlesO2tqAiwQd2C1iatEbTmmAohpZiKJalENFSZwCO
sSRAVkj863V8jq1Q/V+1FNCq57DFodLOADYfkvLf1miy7TQPuYk+rkMxYXd4LW9TUfpVQdacinb8
p23ht+Po+EgKZU4a41iKDzHLrzMqlhNKSO2Lj7MDofRtCcuCCYWzH+NDpaYAjfkWgdSBOJQEDHi/
8hElCzY9jNJmfb+8L/K55PIMrXuJzQALcn20cM/gBBhASj6CtMNB9fbYWrNBkVf5vhyxVrCKjsfR
Kn88iEh2Cb5AOszWx3gaJlxJphTOJpUvR+P/91OOMoKb+6+OCjd/HALYJBLkn/y1o0I5OEdt7MNH
AX4TkChkgETXfIu5fMjTndpwMsLmuqxYCmxWQC1nOgOJoSM+qzSqnejWgt2l93wQBanNNvn2e9z1
8dXGHc0bVYxT/4NCbmwfhykfEDazJ/32jq7Qke9NKaG717VB/Ti787Zl5fpgjeB+qvIhHpI7EtuE
NeNoWVJLvzjLKxBcZpeVGFdLPegGtWIxrLvdAqStUSapPLM0cfQp75dA2zr2idvcBXyeSDjqN94u
14soUJnVBTDEfQdOgKmorz0MCq4ys5b5eWVFS5psiPwO5dKUdp8caDPeELqkSR3Qn07QmrfLzBrW
pZuCAr1vr4qULI2Z4m2/5WyM40uyJSI9t9Fcivik1TTQ55CtrYqe2RR7/xEyVrLcR2BGIuiieeF+
gHbL7fNerO04VXqaEjF/YH7v1YV3gIsgs6TlMFVMTSQVdWH32ZQvySDL8YdI9bT6BlMlmD+YW7Yt
rlW/zYm8WvhosrJBH5D1+YUPkcofWFJESl3WHPKDXvwhypEsGGUP7ZOl9zuZVkzpPbGzFh9gPlry
+DSOFCqfa8d4J/q7MfPKtCe5tsu23gGHbTvIVOmwueyRjykx17mkoi3PmCs5UZVeQeraup/LbmNV
G9HcLA2g4l2G662dI9Fdtm7AaVMrtlFssKvuXPZ5ilyezdeYHFvE642gbEkenEbVxcDIk9Ln7/q0
KPBlef1m1HU9fgb3CsXH7dNMzcvuDEvXG5lb3aZXiY8ikGZBZtByXPwok6GvMroe5yJUxB1upyUZ
DpVvngf4rmoJnjZr34VNb7p4L3kkt/5cKBKl+lq5wMr1XS5J1rEKROuBSRR2yYT6VLScR/stpf2M
kYpAICbDPXZtI7LbiHBb9HdJZ7qkfy/lJkt+2iQ2gvY0dQnBtWPLOi4prFEfp6cYKtXONLFW0pbN
uMRRNn5O23TE5w2yZ+zZtaUxtUUfjJFNS9fhBKmTXBxvgutHyQKSmR01PRUz7r7WIhlJDuH+dowY
6aEEYdU0iwVwzlAcWz4FIQWRMdsgso1P+4h647IwO+B1+vVWxZLtGD4jC/yHs2Tm+LReJAcklHTH
40k0FWn2r6T3xziPlEmAc5GLLB5FNKpS0D+MQUNjzrbrUGnVW5mEAkxmKaDQxhOkzrhPixxdN2K8
IrFPoCZ3mvj7UhbHJXd40np/yjGz8AkEPzIvPPLHBMttdDz5LIBlfOnZcAzNuiZ4KY7Y0my4hhX2
ONzj2/1YC9n2CxBMge9lXk/5k8ooZ6SmGwMAVGmoQjAWb7OH7zNE7E0ho+Pm+BJ+DobDrLH1W43L
sj07/kUg/b4ncWejp7ehjl5f/u9Bfn0dkIJU3RepHnAByRiJ9UV1ue7spRtJwE2bdEfGVwXauO3i
JzTg7cSq7PVBTfu6YKqh83a2vR4TFngG7lCsIX/HIHHBKK3p0OMlqQbGBm09g4SQVSoOR9HbDlmK
b/ZFG5sX9jqCk8YKwr72ek8i7dCj1Xoaoce+Cq48uvP49dG+To+cKwjETznt8BunDBQ73tHnQWCe
tok9PkZQAd8Q3CQmLsTzDkYTwm/cKTmG93Ui7S44XCVu8niXpLMzfg8GVYLZNS/iuPTXAY32bcc/
pp5MtDhFcQYg8npPs8LrS3sgWvFp69yENQ0pwoF8QKljXrq1SM0LuPcR02fOULHi5i1kY/m7GeTA
8YbpenyhK1QkGJERrisI1fbsuP7R5a3Ynl3f9m13HltokJ6EIUlLrtQcimS5Ja9zBQYSthSXtyFn
YHJxOb4jCm+CE2DCh0vdKZzza2L2PH5G5SbLtdEmWsaujueW48MzKZBR1iy9BrbZAzAAZIPHJBx8
Ie2xnB3OV3xPBZfL8qxQLPpwQ9jc++kKaoEYioqe0X5YKz63gA0Tlji8XixmxhcUjVn/MBiH/4ef
IHUWbwmgIgNypH+AGJADFNisxKcnop3WT/nIPboAHvZj7m8MW7k8e2JS7DClFb0rT/2AI3Y4+Wjk
bL7OGI4q/yXOvcR+0/bTpNTVGz4vl15YeXaiR7/7PdAZ2QlXWgoMx4X8XDMwb/QYsJlviu+fiCin
bXmG6k9s+dXyeuseBhYMEdF+V7gj1cKBcsr3OMEut1h6DF8CfByDCbzqmOKv+Gk5K4ikqsSlx/0u
XZfii8UEx+tNByg0qrp+B67MaKpGVgGyCPlwT3Ri8Yo8JEcPCynVjHn1CrLsSQbC/OxGY3l63XJI
FaNqf4XeONpyoIYmg2YsXHii0PoOA3qnsV56ABPZ7QDWAHe60K0Dq9GqcsFWSXIecObNATuNPKPX
OwbPdeSAClJXKpAbsoeiNbu1ocddftlQnvHoZuMznA4PjMgDpJwcjrv7QnGSLx8oYKzAT57LKIhz
vumsn+GOjIDyQy2BBvcrbUmClhyHIcPD3yO6467ycTiOjSHjx3SDJDXB5HsdSblMQKJJF3dkvdn2
bODFB7W7LXqyKKaBKuzasPwr9luAtNGmIfS7SBof98D1GGHzf6Mt+g71KiprNkyb/gq/kDDJC4Xq
o3/Ic6MDP1OIHZboz61LpOcnnGikz6q5B/4d1WWfFPYTEMlNLR/j1si2rXkWiPCPW4Haxvxga7ea
9MvMS0ATF6vcOrA6SvdZfdqpS+lUwTiChqOCKW5CTQmTFHOJwywfJEvrFd+MCrg0N1B9vnm7k9dn
abQEQFxDqBCO2/q53fT9eux/LLTHboLq/1i83Twcrxh/ovdcpsf3QO9HeEVow/FCToBODCd07ge3
0fVcYym3qBb5w76ERJ8kFuqxKtlw/ORtyqKmxE7EIKHGj17x8GM7jdra+mDhB01SG5fvnSjaDSKK
eAR6TsPOWXq9mfFY5W0EIRuwdJA++AI1JXYLs8eY3zQG//AA3PK4cnBK+NW3D8osw5FmMFWip9eO
DYbYvVCVHLWjH9TrhgXx0fHOcCccYHTUmwOEhNjaUtoM7WAmXgmTu+jJQXKFe4Y+R2IqdWl7lHGC
enxGsfbHZbmfCy6aFM6RimfuWOQ6PXjbZtz8MScLvkNzUMEcNg7DScgeq/H8OiDAgY9NTyGrCO9L
ITuUtyIlfVH+A/D1W0MPLOdwnMRgqlmRJ3+BlcUCDgF4dfok4IbFVRct9HNPdpuwzZqIHiuoh8ob
owBL23Ht/9Dd/drbHR+fH8RJfKSW4fN/a2yt81O0zQWgqtetEY63Y12hD8BK+vuP+g1Ax2qKwTri
swBZ4f/5Ab39lw98g3y95Cgl/z1HYuWnqYacEUKigoGzwo6ci+Ohuk7iCU/UUjyyt83x76/lV5gv
i2PMnzIBKZlDX4B5nv56LXwlKeBb2T4xsGr51y6Dw9yc5xnZbad9Qun8T+P81w9EbgyAAyhRUoCL
7DfMQgkbJ/0QQ6LvRxwUrcKJf/gisM29rey/v8HkgO3+07QfdwjsNs4KkLlpAjrqtw/0vaTtuPT5
49uOsQnYVwX8cSRk2dnTuVzPUvPdfnAbCRKKqfHYz4nF1hDNO8V59A9X9OtMxxWhlYLrCNQoy5A1
9bsLKLA42opAzGP/uqg21HVY494pjn0dXoYOjwAK3oMfZnBO4wpMJI4LkZoYt9ew62N9ZgOZsrjy
2FpgIjTa4OVYHzx5gNoS/WS9vfJZ+nWb/fubOJbDf40qrh9sCcWEgR6FAoD7DVncwu47u2fqqhgj
q7K6GIaCfM0tnu8/zZi/fhR0ASUIJ0QOoSf6fWUOPB2Ca/P26vXkXDM087jtFMrAf2Jsk18BU7w7
FBoM3PER/sHyv+ikxngRXHrNvscSqOrbLEhzdVQ2lgxH97OV8C/V8UBtWlSF7QHMV9BfJzOSEkZf
PMstxpr9+9F+k4j814ADcsMQwGWX/uS3keL360KNY9AbRSfmi91hwplPaeYPUt/BbuamP+d9BC9c
T3MLiJJVA4fXBQr8rF2S4RaHHqRBbT0pDQDlLqVo4eP3A0fKxHQVcMRm0wP3nUp8qHkK5ubLbAyU
jicrU/jJT0Pv9nSp4ynO56EpbQbE6o5ALUfy9+yVFlM5anryjo9DYvy9asUKzThqhbyDTTqWkJBc
oV4vIDzsI6kxRd7OeYj/j3NNvZ7OKHRL7Ln5z93gtWJXP0dzE0OKHRAd1nGabmsaoS6c0hLl9pg6
DDcqldwVD2TuD+Yuei0RNDhGPLdYl8kONe+8DMlejbCGjV2T66KXDpb1V+TA4PSB6PS1HvhZiICg
2jC+sAceZ2FhVgA0KNFVnp407BDR06BQnK83MUD/rq17P8xoSwCL97J/JqgeGXmAs5dRfS3zODp6
6nm1gCvDazvDtjATA4u5G4BeAsgoANZXUiyQbtcRgifgr60Mgaopfc8Mg6T31JqcZuZjFti6Tx8B
2x/EEEopqCkfpmUGFv+x0wBt2wbzHKz8WViTwDY/JKjd/gzo4ObyJsv9ln6FwjcsiJcYNq4/jIxJ
lZ7kOEcxGko4QP1SIzwFlPRpnAKebbP5FIkJ1eGtm9YaFU6SlXVA7MB2p9i8zHsFVnfr0JSy0oJe
7EQ8X2jcL9tLHg8qiIZT1K1jNRTjYD+PADCQH4DskIO5eqtkDWjlNr8r4fhA3Y5UjRyy6bdyBfjx
UW6FEc4a2Nx/NnP9z6JqLHqFzscyCEt0tdo4HxLId9qpwGWkCk7oTUUr+4i9cCqf9Mii/jx0WZtV
om23pyx0MPqHbuOXjq7kqovJfj3Yw81n2+mxsHlae5aJh6Jb+hjQ62o/ckzqK9pmUPFj9YkXaXX/
uY27qfEsgaq27MlyQc8IZCYds9tSx18nheU4wpd0l2+dbgoqBJ5uHNmzLDw9yalz73bZL/EJxe1y
KkNMeszYfPgutHtKE6pvLY3a22Gdl1M2A8mFnqO9WifHGsG28kOhhQE9rrsf3Wx40wskqQQ6jk3G
mbkp93Q4Bz6CTB11RvHWJXzdVI7FecNbXpdoa14gB3UXyAf4D8NUf1E+6fcqMJmdhYynJw3XMDTq
QDrmKiJT+7z5vfzWR2OGjtjBC16m3SlOl/iGxkx01RRF5I4C7TrbZUYanCz4B2BwHWQ/C2E/EjAm
aAsSnTxC+iu6sw5jdErmYXmcV4q+HVtBMwfvbsgMr1mVDVtZ8wL63fJztyLa4xpEvvs+p1Qmp8np
Bd1CN4hQrSQr/yjhOoBBg0f2ZmBg9RuaLPKDX2Gdz0B532bzkpial2L6FstZ3/mCxrdznhwzlGcH
Fdmu241HVXgfF2q9Bogc3XSKiLQpsfv9SLYNxsIdZkeB7lNHXzZttj9MFPk67ZL9G+xhiBNhXEPW
uO8zZq7odV9BeGRdo/dN+ZvctQaa20R3DyEpsBGjM6nXjfTkBrlhvb6x3thzql16m/WDRwRK9inb
wvfYcf5Aj/iNdXZLA4Qu7qrWD2vRZGEiJ1os44MW1H4J2qO0icESt3BPKEgJVF10LUwOkYOlAATv
VJG0Hy8T+u0qjYflg09G9WEWYVG1Wpb22UDR/9kiYyStjHcI7UislpXE9YG4LAFdYeF5sdfUl9t7
ls6ir8d9ld/koPcKXMnwCSGmptJ6TT4wYPHXOoV/0tmY39BupN/mMvd3yOexML0Ct8SH8qXiLjJo
7Fx7l5fR1MGkrNg3G6GmbkqUORIBObNBREyuztjo8xwpOHtxtcCx+h5yF0gkNmGf02nUlxWWyIvU
a/7NEv68od183g0sqhejaaikGdo/AgbkIpbCuROqqfC0WJbxylID4lO1SxWLdb1GooK+GJRzyWHW
Zc9sXNgLQRDQR2n59LLu6/6HwwRv1mJK7yn4+QtSQNLGeLM8oUyLqmwb17vIzurrHk/jhfQJh8AJ
qOyDCDHFWeaxI8WyKwGrwEt3VYDfqPU8yovKnH2GRIrg+tf0JolHcpY5mb8A3jLv2SjsVRJ69jTA
7XXbwtJy8gW2XHSTQ/cwwphwYx3d3o8ztx8tcq6+E7Vic0hNWBEvNGDxABp6l5DF3XpbbNfd5skE
+KMcLzwfaIMuE8pPoAfseo/gbeBc2A97WornEsLJL2Yvl4848NsrLLbifk+iBVKgvDv3jGd3IIoT
Ui8D65tyDyPBfLfjeW+j6b0Ckv0eYnMNJ6vu47PdpPmiF0dhj8z2/c4y6m6h91FosofpY0t2NmDP
HvyJFKq8SkCd1ave6btybQkAbhv9iHgKKdddyOjesRoONvQETeGADJd3KiNrsZxiZIUiF+k/zjeA
Ff1DRMP4/+J6g2LGPXfpupqLSHtCfzG7xcPIbn73uJVsHxBntC/szeM2RaDNb+HeLDDWebwt9s6w
FXxJ4pF2dT1SM7wjnkYfipF1us69FdNJMG0fYXxchxOY0yBuh05NCFyyYwZhIedJdCnWed4fQzla
Jy5H6RE3zHgEzSuM2oRUphuF1hZZO0mByqXOBsd/BnT9L44nqN540mwJSsTbBf3s8inr0ERZ7CMW
zjkk/8TtCHXO1brkxU2W+niUH3cSeLrC22NihkwhbHbxdUkBrF9MH0bbiHXO3BODU0VCyNL2zFY2
4m2v6ogy/9QRiE+qFO67D1NIov2yoV9Dlldh0vhuY9KPdWoBh98XPbbTBjqzvZkAEN1IWOpqBJOq
mwU+csSi9CHK4XeCxXCM/dAA7hjUIXbSaTa8WxYqy6UJucx75KA4+KtOUwmWsHZJSIcTTVwv7uB0
k3k1jEBL633xZqzIEMCfFE6qqxH+ounUbtl2rzqgjY30nb+Csz6BV7iMRQFkSdrkWrVWg9VzWRGq
dAOJnC/pgqgm5ot6kBymIBjCjswoQF+fEh3ZHytDaUKshudqmnhCTu0qUpfWKOFENNWguKHoghNL
5I8holOBwsyVoetr7KQLXjDFETK7vmMTMmV+ErrXVdYa5Aqc1FAkhTjp1MNMfJ9Ea+7gABsHfiVN
Sb+16/p130X73Ar9tWU6kxXahOFpg0TixEtuLzEOjxibRG7BIhX7bR+Q+mRJ586rsKzWRu+6KqB2
hJFoyIYnO/Z5Y22ONKOyo9hf12X4DivYfi6mHmxY6/k9iLoyrhM/b6bZcdjQ92wW5KmADsfCVArI
BPMBEwZK7W77kUxafdBmnMvTXBTt3TyN05Mz84IsGt+uSIMbhxZu0sGza7g1TZOOpj8rwzNIr+Pk
xBYx3SqeRfep8vQ21eD+pnYGB8zQFjVpytdvoyvcZfdpCldygUO4idlq5pOGkeYBMrxtudZHHA6b
t9gj3aCVNc3nVVcsGTikmNAVuus5x82dArDip50j8p6DPjYXCZqqsViUsGUHZR9wyuPw73LVN51E
fYFL4I84dbqzQ4RL7UYtPsmuTb4CwPJnaF/YZYrZcC50Id9HMrb1OuTiM1IWnuEqBy6Jxu1cpFx+
mbZ0maqMTNMXEnN741LCkfJmvSzrDhjjDdcpbrqNARR3fq3RhJN3iCZzN+uWdN+VIMVXxdvks0rI
dreCAG0ybaZrAuT1EzDsVDXY07yuiIzNfc45Qd0KS/AxCel3qo4mPYzDcWr7dH6ZkNcAv2LegU8E
Jjvl12M2dlM9W4RUgbLZJ2BuxSaTmvTYRyp4tGR23+s5fRFCLKpKe1xDJftClMiGGUwNFAlzQiCN
4nrIXVo0aOHX3qLWUu3NoKflXxpdm6iVJiT+ioN3sxWLym29ihaVN4uW0RVMoOnzQb+fEwTwuaoL
kX6XZV6+uLXUOB7QeZ4nxyEqmnhGkDhV2lsdoM1AbBtKmjs/O/2i0sV39Qy0bq26tffflyVgrWBR
ok9zGmDgD+Qi4IcgttbTKFdyA6wXfsitQ1Lj1aG+/INCicnPQyEW2B/Rv1URypGl6bmJslNkEJNQ
x/uafVrmvv9S6NXD9UwQbhZHyH1zG0ypIKlKBnENargqXzbRXzYUVTfY/UZ4FY0QEqUcQ+kJMUQ0
PRC406PaIY7RVGGIM32yeoVQH8IOTKL6sMNJqtZzC+WDYYOqETixwLB2tLFrzYPpUtTUZOT753F2
o3qXTsk2N+gquMKWxvJp17VNXNuHSxSncqTvckc40rgS05FvPdSX0VivUeklP4N3Uj6+V2LKJ1aj
2/ZUw/IvhtnVBWzmWWgEaKCyrxxE0RQJlWvgg7oNJQekU88ODZh+369ArQgi4lrHkGfmtOk+t62i
U9tsWCpgI+ASIqOtVm+mfDm3R2IboiNcNPw5m9mvGSIiVDeMp8yAsnricQoK46KhN0J8gA0Ubv33
0mmF50AjqI5g+ncOUDo82ha3/wccskWMcZzlGBqmhc8+ZzZLxdMr5hnpA7dfenYgjGnCvb5FivDB
gIN2P0B/rMO9+NFSHvv8AnnyjvVmkpl1X2DFFpGoxhIAXITOlsstxxGB7Xj55BCkZsq7BQWlf0Ds
SBxo7drZGXXZQRLhaeHIk5N8IaUb16HJ+sWF8ZY43N6OqD+IFWYEoMxk4E9kyXSXn3LoPTtyEztn
wgQ5T7egxkHv0JqzRjIE9uNomRoFMc99Ck0USnfNsGMG1oF0LumlW4ohBA0wcwUg2dVQJrl+o6d2
9LTrT3qDcIUBOxin8m5H6VeeOEz1HGTSypl2VUINo6ci7IRejkSXT7p0/XMEkcqC0EyY4irqsHZO
EG0MP+JRIUkAInJh1WnKZyaa1ULu4as9NeDwdth2f4rVb1jXru8RP7VeAU7t7qaYk1qlubuXSQiI
PyMDNE8rA5+qo/4JmaZbcW0QU1BUZNSBVn7c1HixSwwxoC/1NsLjsqofeo+5wtZKYc/OcY66Bsmn
4XHuog2Jf1vUn1CBokPkUmfZxeZ0GRo+lP4l2rkPMNO3yEt4LFWnsgZ/ZGz8bmPwwNUskXcYjwii
QzdiZSJOKCfsfOVEptYfbeQPxAUVdTrWuxLtGf6xlUfnwSUlNC6pYWPNYzpNJxri+SqZp+JLv/YU
gGXB03aqASgiFrAKRZgfhjKPXZPGmVs+Q0EA9QGkoBCr1ZBGmBUFUpJCngNwC6GZKR0qalCH33vw
Vr5CLl1xKlTe30Qtgjlm6JfhUYBETQ9QQKQBGYzliAhD2KEXcYH8Hw+m8G1UIfDKXMGtb2TtAJi9
7OD9MTc4++CieMJ97vqcJwiMQZCSbyjjJSJ1IFH4I4IGCOCh1O1dhG14/ormchMfCjkgr26GHKi7
QgWT31jkjXUv2CJJuJCVysdpI/weasP2R2sTjHy57R6qL+6AjOx75yvdxdtz6TP3frO9wC3AXgeS
tRgm7KbFAM2/ythjAvgQhnFkT14nAC2QpwmJyb82QuFvzNRMr0YqJVR+NnsyvJ3OSzrGn3M7JxUr
IOcT9ogVJfMeKtiIwgO8nmnXpG5e4Y3qR+jMWbey9brNLURe87hDVdnyzeNyWX8oDNAN13osQops
RsSyVTGB4bFpV4K4QlQ+HCjMoguo9Eg7Ix2yHcN8T5x2d22awMAdZ60uztAT6I+bLxaId5cRdwlS
vfgKY3+JJAoU4O9MdFS8c0kRBYGaOiDyRXEGVYcynWhwoEsImACXvN8HIADVnmudn9QKnVpD4qE7
7cbjd9oMqjSoLwbdrET/uc0CjnY++xqJA+FLgd1ivfXLaHXTm7V8nJFriASdKMsMGoIOKNCQTvek
5+ltKXpVQG3DA1IAkG58G0UifQl9p258dKQoDrOsIaVKv8Fc4kaY6woW6i6bpa1hle9C47Yg5wpB
xws/OdGVPfZfS/pbmaQhOy/5ln2KuND+AciVIgADpiFUvR6SLx2DcADxkIl9mCDUiE/FlgU0BSyF
OcDwGOksQyLFR5V5u9U4N1HVoT5vBJIfymPc8ncb2QBDk3TiyAQbyGcDsUJbra7/QuZh+myXaaoQ
Dg/sEcJE6I3aFVO+t19a2P+RCj37qI5QedxbB5fMDNzl69i66NpKLOrGdqp4t7hlulkyxCqjI1d3
wAWKq4jH5Scgxl2BadDmLzrdCZIL4vlxtSG9VjPipmq5lttRrcUDFCgjIJ5insurmYgxb3YWoXAa
OuYvY5au/SNcvB2iGPa5sZjqtDYkcyeUL8ntGCZEasot+Sx48J8ZX5JKzy6GAzFTyGHr+Z9Q58YN
wiqW5xLl/iWhPHmZIOT+HONXsiryGDgo5z/DulLee3DlF70uWHWl+wad7/JeO2RDVeWCmFysg/09
ayMY2G1ChwvOA4vMknImDRIHboGiRXebSe2/JMCOpvRoVJC2Me6VF8n0KSp7+oRQazrUFKj+tdZj
Av8nBIuKkO/BAf23J6WBB9kXHFBqWJEcBVtI8Rkd7TToR0vniWbvFonwIX+aYcOHxMca+LLBtfsg
BwOuAbzd9I4GKFLCZUtheUgbMsV+EdexE4Pcr6GHDssz7/yWfc+QHK2u5FQOC605tfESNeWa0c1i
81IQhYBrg8xAsqTL4wb6tWRH2VjGoautypEydu2CB4qJZCafnSkdt/JrPo4LNhWjVY8Eoq3IRJw1
qPNA9zdRyNsWuhAKqRJUvSjjIU4K8Ghj0UANTjMoKoWe/ohNFIq5AbcLvdtp1hsSwCB16VoF0Y1u
+aHFxhxEbNOlle0emw8rKRe0MB3xubWfpnLjq2zAZ5bo++C86Tyil+Q0u6mZN/zZquQUa+Jm8+LU
viahwrvoLtTbRFGSVbsW2BmuONyGkiHjNhx3QvM2Zv1FtH4tzL+Qe7GnWdXx8shZgqS8yJGzvsxo
mG8lwkT6HHlsyJ9fz39Pz/1K6II1hGABiY4HRQ5WF2bCX7k5QGXlEkNs/8cw6YPQWF8lGSQbLXhd
xGJRpPIua+wj+AU6CYruHy7gV1L9uADw2vCa4u8agCUEKfTrBXRZgJWn7Yof6vUChlehxKBYjxmH
IOW5fyWx/3+aw//2B4LeAhte/9xAebho/o/x+y95Dv/581r/iXKAO+X4pbcwhxJ/HARubALZBTgg
hGLiR//+OwUJ/hgBMn1IySCPQNoD+Ol/56/+D3vntSQ3kibdJ8IYtLiFSGRm6SqyisUbGCW0joB6
+v+APbs/meSybPZ6L4bWbdNMgYSI8M/9OJwHvHYwSxiK8Xp7RRtT272nwIAOgUkZrKdn6wzmbf0/
ATpwvV7O9uFCGN7uU9g5rDhOLs4mOyeBoI3Zeek1B5R+14IzK1b7qusdBYDMopnhvgZ86sq+r3zB
wCQJ1AlsUZiOZG6OA/pHErhtZZ+3zTGTqJra3aanqssDu4fajLXCWZWHEmvzS4+rykKTNJBP4P3Z
DPH0cbqu5trt/Yr5n+7LWt1MoHnSxpRqO6wtueefNm0TJuz11os2QvRDNGFwywJjbpPzOCbdxKpK
6T97IM+/uCziQsHDNOLGxOQGMUyQTGK4aoUsu0392tNFFo4UANzM2HdANMrHsdKVgzNqQOfXalIR
Pmwtf+qKYn1YMlXcYsiuH+tCWZoIEIWSgd3aVfzGUlOe9UX3WFndFO+rekBW7XpMZ9s7692QA9x3
4yXXBwWaX94erMaycT9nAKrErJdauFhJfzCFo79UO8s5x4r+pOmLHXmZ+TGdVsSJdiXosRnGvdSL
4TS1kDUyTb/PbB7IVmNj7V1z21/YwNwbjoLVsJkf8ami9FYVtlMiPNkXO9G72IRiHgxOU15pdY38
ZC89awJi/URJ8/RmZNB4O2cN80ghN3mtzlFPX8Ft0g319wLP72EqzfUwWrkbpIMzPuq298VKkjbU
Ei0JbCVjoD/yRwZa3TMVhrNO3QRdZSEwEU52WFI9FcNoPBoAT68MBt33+cjDoyuZrOpG9slq7Tnc
0uUKSt8aMg0peLIlpk/QRnmYqKh4qoayDpqyGm91qGSB4IgEiVc+MJNGYV1KGeRU6b0vly3xzVFf
blcchWG3WHqkWXxShUgp4Pgkfbe5jgIsjMm3DIqm9XjZohh4LnXalZH16hke49eK//4uJeHy4EwN
vLF1SbxHh3v+g6uj7uD8LBK/S7ft1tzBT8yflLjEvRxvimwemcfpSKNSXOulaV6t6M7dYJgHjdP+
pl2M7XUa2K5ElBlkZ7PItLAzy6r3DXYuYV+WcyyLJD0ovbyy8SyTlrRvpmmEnLfZAPYx/xaBWyzK
ESw8OvfIORgurPx8mRBGszfxrDACzxgOuPmqHhLgfBPYsrFvPqyzLO5Zqt4ponrWAHOGXmU+QnKv
osbtvoyd45xgVD3jD238iv1Wjf/lUOY6FPM6Z05JXC5o9l9q/co8AMqKJsDwSfXFlB4r4dVLjt08
KTez61FKIrs0JPn5ys1wvNO7ejkoIzudqkyt08p++9m0lTlYQBSFdTKoTJ11Livl7CSZ5YNJeZ2c
pIcZWw8xpAf9VIxnMujXomal2Atm1w0DsGSEXmp7jCrMOqyhhkbz3OUHMFYL6/NifHQTo3roXCs9
Tfge/XUrjRMOtuWhXqotbkSph13XDfFWLvaNOUxnnKHzCRUoKZmJjPPDbKK9aKtyVIjG3s6mljVc
YORoZvWpKRSz8sJeG/TiHreEUV9jaLytB/dz25OVs+3Ne1cYSCSm3pR+5ubJPSGd/A4r5ifiQ+aJ
ZXzPIkv7ZHeTxeyc5eDHceArq3XWhTgP9CsI7/VBZZwRdmpaoQSbVVQxcL5fue362cL9jrZVLIZO
s37cJOLMlHB/niTnYL4u60eoniBx61ztn/pheWpUm3Ar44C7ts6oa5i8Snb3KeSok4H+NMYdocTO
r6xJZZdftCeUMOBrOS67vbPDexSF870j1xWk+qId5sytpE/vKINgxRauDwS1xuRi5jVKfUCuGCMO
apOC+JptB1cXeBUAkHKJNx1BU/mcEULXzOM6NT90zAxeYav0X0paH1bCEYUkJJDNun1XDlhzfDBb
7rGUbrFdL+ZgPyzspp4owuASKWdOvdMgJuvDSEjinG31OvpiM6zPgrM/DzRSFFmgKYlj+jMmoce+
UjAiJJo6nFtddc/9irYivKJh4NmLEzJoeoeDv3qCw8AWHNegE2eU38yBR5PAa+eaYzQhlRw1EPdA
igB3+LU7oAukqzAJTg201Tg/mmu2WSanqXO5PoxpQqVcNuWh49b+HWWLSQFx2PlGMNe7X3G/qaFj
rwuFPVrDOLewMLH75rLJF9Ss/lM/qPkrz+S08eda3ox7BQ/8Ve87aBR6ebIqMR6JxU4vSkltT01/
j7MX+dR7pY9FyjD38wxxDDmN0p90r/+x2B3UeyEQ/Tp0A0GRpPvCSziKflFk7rPci4QgYlZfmUcU
ybmW6Ik+QZz5IelN+5nniBcxQaOSaF11xiOO0yWBVhKROCH+L1/KPPdMbkZp8uyVzXS/4GzgrFwz
5T4vYOjSbrGXIf2oRao6yi0mEqROoHv1dgLaV341RV8+osY9VWM1Ay3YmuRUAgIMCfRwsTIK6O+2
fu9HGueRNLo+5kkdreAXbjomFq+4K+ZveEL6j65pTodGKRhKKqmX0h7Ur8p50IrpvsFYMvh4UpQv
prqOd+vQoOAbiosg56zdcHTwuH/00qXBILUl8tRpwpjDIi/6FdmnLl56JmCm77aGeCzMXXJSFqO/
tUVXnbjm8iKWukrvxmou/R5F8ph3D+pr4onEjJocs3BIWMyKZWXmj6ikaoys5eAlkA3KvmsWMbfn
wsUgPwH/LHXnep1Ff9YwWLMTNdVwnfY2FHIF/j47DZAPzahX0VlsZqeRlTWe6Wtj96DJUYSjZXnX
lTLJ2neSVoSLU3Sn0THZYtdVM7yWQyEcP0/lqAVAH9oPJTCXBgq0t2L7IPf+zWYBdZOocxcauv3Z
TDPvvZM19SeGbe3BoBSpCrnF06KzTmWrBLNXckfEnqaectAMN95mOh8niKHHLuvWNNBTC2T6aqzG
Z2cesivBYPSZYR5aF/DtxfT7YRr9ptXx/xNLGBH0JHaBwshWpNUESPKiZ9ondDWKOxqL+SaY4AfL
E8ikBXiHV7mxgIxSdZacS+qIS61xtK9er/fMPms7Vc5uWyQfck8071dyz+PBaLLlSo5yjacCLSrc
BubH2GHLU5GW9+om8w9949ym0CTbrJ4CRmDR7EpEVfyBD6YAQS0dXHspcbs8hJij39kVa0MXL3bc
2ywsfGuYzM+es0FLMtsufW5M5Np9gGYqvqYY2hpoY67GXpWmtyNo0GjWt+SkownFOJhFuHVGdZCq
Kq81JYtsOdTfskLfS52k7Xyzi3zAVj/CqS1tMLup5SSfbbNNDlOrEkXl19zGABFE3tByVZ5Sllkj
fBSL8W4+pIVJItssvnaMRxt/2P/olKzi1mLMN23SZy8V8Mh3Ocp8rOYWQBItkddDB06YE9zeq27I
lKQqa8R6TjGr1Qq0uKGXRzf30C0b8L4fcKRToUSpykRTVW6h3HWdbkd9sm1XpaJ15xlW+jXfsMLg
mudfki0XGP2EONZdz/jKM5pTX5FS1svtpVupAws0XRsg2PfOPcMv5ZtG1PAfqM//7ZLf2CVzUyD0
8D9vkoNPoOwY5uUAD/7/Nvmfv/XvXbKmmf/SDDAPbGd1GFoWL/jvXTLlBf8yVfanbF1/cFJ+2SWr
Gk5n9sfwDXVt31v/1y6ZDbTBCzrsxbHeY8D/T3bJF05xdumA9CCV7rkJlQeveRHiYMmAc0nK5baZ
DfhZM3qx3xrka4PSmacHW7HWc7FQsBSpaileRWtO7yG/ck8fvaZ/+eno3f9jA/+ZZXfZQfEPPI+C
MYQgFfv6XhHzc6TEbNau9DI53dKepN2mtEqASndaxt7LJIi7TrMpX50JVrBPtxRMVxI0CKakcR0T
jdlpvnpCqHe8Rsb4p6q096QOXC1ebSv5xtpWW95QrPQLV/+PTwxOAZmD2JPq6he0FTNngE9aTdwS
d0/T0Ca0/36iu8Q4CGdFcJiQGYowd5gUbyx0cmDsqhHXqNUAgKdWfM2WkWdOrnRWCNO7ZWZYZyqO
0sEq2eW3RXZfSvxXjAHHEOug98wm9IqAP3DlfFTsG255Ux3//XfYlZGfTPp8KYQ41eGHsDk3YHP8
+jOgaTDm69iHQrXyntuUlZJvljqnRtcAtp6XAdEk0aoPf3/bX+U/i06BHVGEZsOQe//jQrDBEpKa
3ZgCTHepkmHNIG+xuRMIT7Lnv78Tl88vX3B/Jw/6xx4GAoCx61M/n2cdz52tx4F2i6nZ/AS/ApJ3
ItxV98sui9SeZG1gqKvbBthV5/qtk+ZCmeKLcqLo9CySm4I4evn2xFFyZFZ8jQ5dInDQpPWpZGtT
xWTqx4gxWeuvKj99PFf9jGW1bJ1vzNnBIXireb3YTMrRhwo8cAU+9Pd4q3QjzNx1/dYBSA5pA6oJ
sWNUHY40yG7yreTP7z8UXEtuG4Rm2CKhGP96+FRbIvVQF3ejyaT+lDNeoolEKUVDQ+IKauo8Z3n5
OXU9HMlbT9IU6TsPGNY534WzbW2wZqnDoKKYvuVINF8nq8uc899/YgJIlz8yiBdOIhvTAWQOy9kx
KD/l0+zBzVXCxsZNYRJK89xQeNkW7/AN7yDYNZKO7NWHqV4tCcIxc4JBa+JRH7q4MjuwX1VfP6Lv
4Fl2qjl9mYu6PVGSIPzO6rv3uEndkCa/JJBtUbDPEAYDxKQYm9u5U0bGjUym0lRjccBcnKiNPmX1
Eddh9agX6X2Ki3TxK+n0tyLp3wm9VozQnvS90mXVuTeYctt8dXaL6yqz3NdExeOU2a52jYQ0ecGs
Zsx6uKjzk+JS7+LPq7uF2mwp4VYsX7oRx64ku8l8tRbOgfZHeQJdqb/rMyi3ceLQPedv7PA+e9BW
MPo0vfJR1rjNO0xKJ8LJ3UnrveprPnVomXgJyidqbBbHn5iwnIdkkMHKcWDmpXt3uOqWiMlOf9C0
RZuiihwbtlZaEftg0rOEtj+DepfOu6O+L1VDMrbiyKNGnwMS9rDlhVN9WGo1u9IHr3uy8G3E0isU
nfRmvX1y7XaIRnUpNlQ6F9GI0dMnDGjzd4JCnRVsuqCnpEn1KT0sYMC5OOY5WtNJuoehTXZ6v1Ef
6SrC42+bQ8uBxmfuF2NRKLgHZgJQrbVsvimqJDCE0tTYGsoo3bNrD7OBTpyPA5mSgjNJHAwxe2O8
GM5yTe/RViUk7npRs/LPd0vo1yzJdH17HWdl2Ufs3sCtvP2ir3UhjAHHj5SdeitKQfIGC0e/xYSM
REJaI8ewX+hV+6SC6jsVqwFFW/IbJNgWVbQtDEQuCJAk4XkoqhI91qazTg2Gih7OO2Q9NOVjuTrw
0telolbQHoXBGTUnLQJPIHkWHhAyi+Ru4tKx06CnVYoTjlVwfaC6ZfB8RlMYE6IFD1+gJJ7mMTVL
CAwTyUrACWQemMnDXDk0Io0JqwI037TeAnejuyNoUAJlUGc7hXwa13SkR0EhiNumuftdkZOTq6Ha
6oKIiivdWwufbHJuDEc4dB42y9hv63FUubth6Uwzhyz1ONGL4w1jA+C/suv1qI5j3QWWzpg8cBZr
reIBkooS8LPqL0pXU1mAaYq9Mv9TlTtMhCj9UjTNCz07Xn0yBk9UUckm8nGTwsCCjuFEu8qQgxwa
ljI9E3EyTF3zxMPYODP/08uD7PgEUSuqdItcbdkY2xX0+NzULimTSOFSGVBWNHkeDMuqwjQxUhk6
QHLZVvzgkjeQi7dvjGI9G5ehwIEJUyrrTyzVzSPzLkpniPj0Roi+m4QblbrMjueh84DOzIUZGCSF
N8b1xaZcwbtHZO0SFHon85wu0iBltqeMOtk0opQmg2HHf+drHoo0pw8bg2ChEmTzcfUpHwem2it4
A64j/VbbAGyy4ZwQeN+tiA3y1u68tQ0bpr83lkQAjFOCgfwFD6uZcYAApDWv+AUp9umhoiyHcbY2
BgEiFe/MQqf6iYZPJtpUEhvQEEiDRaO9UQqBjWcvfjCgrwUMUKMcGe21mmdWFkVaTE8MN+fP3ZAZ
+AfnNKEbywKc36BqGgeramEg/WjgwqFpmA/j3ualCXx4iFtglgIBOWZBn6qL/DhgdMVw7uDsuftR
X9Go/X5yFkU/0vwxZuP9spqURqn9zNoxmxs+WEsyQbviCeY9M4Lm7K65Sw6hq3lLexKjl+j3xUD2
5FF30RVOi1nM8kYsYl98Zutyb5X0UkXtXPPWbbvRhbHotdiITzj7l9/Lw2buT3wu7BfUDDV8C9mD
S6AUhfKnwCsnLp2uSsv8oQEQhLVYsir4pxhK00WT3fWaiUhDj1Sm8nODIJM3tZLhrslV2WOmJaxt
ROu0S/78O1t3vhE3EKyE+zpZNDW1eIZ3Jpabuz6MnZLzAo/2p7nBKYfjr1gfDbGo41XKMre4QgEt
iyeXpwXlS6p223tp/wryEU2V/H2un6n+8eQVTE+cHevg9FiASQMjqnJYd4P7+qWsSut+kSPmpx4+
b/ky23U6HjEV199hiOz3kLxn8MA+wDWinMwWhSR27b0oalIf6rlLMVmZ3ObWYc4ec7KBVzg3Cyu0
9EEHblBZJo+jTPeeh0KZ0qjSGy6TTUkM72Q2rdZ/q7khr2dX45SKyINwjhQWNsQDxsQp4iEz91fa
IHWbMUslGNZlBlqwM/TFR7b/3jtlZZl+3jwxaF8JfyGx1prmTGRLdF5qqbU9MjST6T11/CxzoGBr
gNU1TeJmWR0sd8wzfNcZj2bN6P+4zXsUENf2uMVdVbbtTWMv5rUisLVFWd/U01UKbCoLXGuss3es
ROjlIeXJKNHJx8kvMwQ/35snt+cpsPZPFTb4/IPWbobLvIYV2Pq+EyQOeDFiMlEG6is9K0k3f85S
VZkA/Ix2ecrJRD8so5Js8SCxOUQ50g7OSV0Uxv2Cjoqwb3e7nb2bVGYFWkZOj9KgeYxmBo5MHlwa
zvDdOtSQuONIZfViLEM4VcRWYqraOPtLc0mdcE2w6gVJh3n8BYOR9q7IBs41nnTeM+d6Pd43XgPX
WeqdB+KkzogBLPIVhtXsan5ZTs57un9ow5pJAJsEkipIezRZ02q0ppzRUZcb/JpsHNblOjdE2V47
Q5cZ92Q3KvsEUA5XJpqskt6Ug7I3+oyYYOkHq6W4qaqEzz8AjTmMmVtmhENVlYGNyXW/2oR84Xhm
zs2PVen/KSlvKClAO3cmw/8spRzY3+Rff9FR/v13/stuoP6Ll1AtOA88y//xFPxbSMGJwCbVRqxh
TwKVgOLW/7IbGNq/VFXzYCDyAeD5GWxl/y2koL5YOjsYRhVs4Bnn/kd1rxebDfL2lFQYpgblhX8E
//HrZiPl5NncrpVHnYyQYPjnsVwiVetdm5Lxpk/8o7kubVhmoZe92TpzsSHjUYha4tJdQQWshdC0
f7qftjq47zfC1IuIZ6lPkbPS0aPRAx2uRNWPP/0sf9Bo/vhW3l6gC+GXQ3fxVoNRTJpWWyI2tYGg
uK4x0BmzLmKX24f/+VtxKD3DZsNssyL99VttGhyV1TQFcfQlZ8G99eEgiHSKxXkLW77vWH9SPH4c
QHigqqkanBTgZn99K9QlWVYWB9DLE2SmVecpLO3vy2SHaZMUAeYC6BUJLVIIBu1bRM4/vvmOZuYs
Zkl98T0F7XqJ0QmBw8m0/d39ETVYxv+zogi+oqVzXuKvIeGMv+riXcbUNcapT2Q8AO4CgaPTIkiY
pXemqOhqNqh///EuNKQfb4duqVLaTP2EfWkms6j/MTJNyBiyEfPecvgGteU7jUS1DzjlysY9/oYs
cSHF/XhHeKS6tfcmaOplE0aSlcXsGoS/C9WyAgBkFT+W10Z//177Yfr1TAGYw54Wfx3GImo+fj1T
TJmQLe5LGRv5BMJZUa4Bfd6tmk7AXq2tN77Tn47iz+928aOhHJOuhsMbu8SYsA5hQJ5oBOuKvfvF
84Q/lOXnv3/BC9qy9eM47vULloFyyQl5cStbM2YZM26AWMtsKsFas3pOSWufiMC4lAOnZSj7R2da
3aCvzPGrLRgnkwo6ynRo40l6UyQXffaH2em+LIuhnFab6bueiP5phy8QeUqZl/bbGzcm7Q+/P6ZF
R9WojXD03844d0xpJMQeGuczDlffVObS8ZfFmiIi/Dt9i6g8zIs5NDh6kV4t5kcV5/49AYPu1kEJ
D9Iu9e5Yi6ZvXAvWHz8a9+f9Cod6eimoFh4YerbIAvUpwy6eWSGyLVk71xYRjNDxPXBAUqEYq7Ae
VFtzBm0yXLPlnkrMHoLeTjJkyO5MRrE1+wb7vzBpXCoc9HS9SqU+3Or2ppy2cgZUj+8+xBsLYZcU
+LNk8/csyB0GHvvIYDAV5wCPGfeEMbgRZc9nUQ6w4JVKBnjgGBJXkNHN8j2LsPEWU5TBmHKj6M+Q
JAMUcdcywDv2uYMzxcRcvdCqdq2S1nlRhn6Ki6ZUdvba93I1HgXGWabFaXmkeUfc8crN4e9n6+8X
iMsZazBbMXkGO5ctLYSjLGnN+48+ZrdKyTQyd9WTli/v5JZ0kZRgNP4X78jOgoiiRZLhsoTIG5aJ
pGAp4iFJyEuYUaWlX7zGvB4MdBJ2AB/+/n6/P3Bdy+FuA2ljJ05dThjGlEEkv42Ii5Xkqz5R8JcS
/IhcfXiLRv77aerSNWPrKpqpik6y//8/LSNSXBLFzFAiBm1rXeFN0U7tLJ03DuAf34XCLZYpaAYc
w1/fBWiWUgtAfbGCy5sCVMdTjugU7v3fj9vlaIv7GN/G1dDaURsdnn6/vg+FkJuGnIFUt2htiARW
HOylZkYzAlk2kxEGsMGJr1Iffh7cF7aUcWuW+Vu3pV1m/vWBwdDPsCHJwCdjHHgxIer7lhj/5MCR
WSonopO1OiDqiIM5C7yGhrmZJ60hzDyo7beqnZ1HCsLmOLXU6YZ2EeOMePgmUP+Pn4kxA5Y0kgy/
lcunpqKQDDHGmMxFc1IHK/JUyQa+Ef1tMnY0Z4MbeK1QNQKIfeud3A3s9AAB8nKbFm2r+gZycrot
3SXctvmjRKoN+lx0Tyu4Xr8TuXW0YKWemxUqgSreWlzof/wClIkAe6NkhkDQr78t/A6vXt2Zg4of
Ar9md5Czmb7PuIsF2HuLMBk1FfOCLXhiDfUZjeyTmzvvIA96J9lhG8MvMkVIKd5DuzntO9fcvm1W
AjffzbwD0sMazmWh8KwQFYBiEkpvnJ0XM6AfZycblv/+Bhdn5ywIEKbtOsarUqTnZPMasi70PNOh
HIocm6AhiZkXhXoy2nUKxo6Y2t8/gvHng+iqu1Vb15zLy91duZcw/Bj3GDcGR0n96meWVfeOOWK1
89SvbTUtLw4lLV8Ywwk5pQE4GMwVu29ySseDro5tONioMHA1Zqw1uuyCjDeMFwtnGJ2/2re10TRu
lc4TRpLIArwf2or3QuoS3sdkqdeKpVXHrW0/OZP6ZK+8EcgBpDA0duuNY/770o3Yn0rBBSuEvSXn
4pBbugsHteCG0BfVS5PAliiqUNnImbebZbyxTvzDbdtmyc3Ok2YD1ooXO4oRnFMzcNOJu7T57jHD
5Kk9Fbu1zXvjnfZXurjB8E77BNqE7K9eLuyJ5EnScRZn0pC+I96evgDeh99EWT0t12uJkqPainum
leStbrY/PH1t1YSdaeAd+B2fJ9K8J5wPI0s66ysD1N3stiPtv1eO+MyW1w7/fsr+WHv+9l0t+tg0
gjUgJy9+QqLG45LnnLJsw5tHabDuWRMjXJtsCmi8+IZw+I4mbRz8a8fixnQpeR3TIVRZrfz9o/zx
ZKLHiCeLgVvh8rGcS8yXYEDGmDpzEaodPjSTyQ/o3DYNrKz4/ve3+8ND02b0wc+ssfdmk//rDc8G
bZbiM+VHXoclTqlsCjYo3G/sEf94fDWUDM4kDq/pXqwAilFLWyhdY8weGUr4tBA+bsgp2YmrnGaG
eEGKUE3Wqq+iOUlrsnZaxbhIudoITL5xvf6+KWc6z66QTTl2F+vyep1XaW20KPJhJohijIxR6obt
Zp3wz6U1cf9urJs4c4ROtybm2b8fce1PVzCrIQ4263YcPBfnmoC+oRuNOsQUP2SfO2dQLEJ6qbgb
c81i4Gq3MJsIcxCzUNa9EX2y+8oK1aIj61D3TlYGMwz+mykzsFbqQkgtANg2fv375/zDx4SSD2iW
S591zmW3U6bgfycp0cf2kgwHaaJsm2PvRXue5Y1D8oe3Qhs2sU44yHDYk349CfMCP2WP1B+LLam/
06zpPGxNho9UsdX/xddiDQpJ194ltd/ual3TbQLXcR9bej48gKyyD+3qJFe0CKAi/rfQeP/P3eNn
19EfbmK8E7IIS0TMDJdKBQ7DtGgl75Qbahomoume6hRmIE83JvBLbeJVBMj29zf946Fkf03hEpVL
v/Fj01SFvZVZfcyUZgpqa5n9vKj1cFBxG//9rUjP/f6EYKWheh4hKAqULlfcLswImW4ap4g5qLRv
rSuYuTwz542yk6SpAnsY9dBmTV6Rf51m5cDOUS7Rxvyufqhdi4sLg/jmnZJxrZ71bmJqA+PCBQJX
AUEhO9Vnn+iiVW5K8MjjIc2qtPBHmiCwPfKVjMCxW2bX3mTNOOmx/6xXlpJ5cc7kaIswqoDzSMtM
e2dLnRluZRJqOVDQQVbIgDyhf/CguNQ4PBFLUh/Ui51dLRk0tD0qPGTvx6rV1lNFvB8KWq7VoKbV
TjvXG+J/PMpyGm+tupHujQksInnAzFs1B/5dmZkzgTNbfGni1g4b5nDpjetgjw4ltBkA9VZfPU1Q
nJLz0CjtkbogTGlrOujwV7L8uSagD0pB4mY5wddOu8CVcO4PFNKvaVSDAxyui4ntJDgnjxxAPI54
g0PmQetC6pzp+hU+0URFd6g7Mho1zmV/yinE+uQwxFnxK4sl2Fxg9k+dxUAzZg5WrPdz4kxPQJsG
EUHd8pxHmoNcoEHrlMoTi9jl0LuLlx9MYtJwAPccTwDOz4ubgUdUVCW7/AfQ06NzcbTc9wR/q2Cp
alJUI3wrDUhvZx1rVz6g8x4kFp0XEDvVB3IE6qOgBsJP6mI5KmtRRUbv3clqpRp5PCyZ0zwCOPQn
WmAiHHx5rJvlDNK3rA+pnM7GtM6B3o2fihLsPLm4JJTFYhwYMH81DWWOJgZtfIbBiW2IRBGmfTvG
udv6rJg3eHBeejWa3fLZEUyGsGgUVMdPn7beto4TWQNwKCv9m9UzxsvIBjF/b3n1EAGcy+9x8m6B
VHPtyq2r7AabSAUPD/cOFvrnhfhEbCnaQ57jdGOqm5wSzyxJ7pSSRcXoBHTO4tIbne2B/PGpF6bw
842cd76Vd3BgmLObw7lcFniragnAThCgKcD44KUs4dcaWZjzy94nrvnI6HaJtNnNDts2bMGqCBkm
OoisjaXrIwCx7mPjjup1kzluuIreJvwkhu+20jeBIjB5uQjWsdO21mmomHI5dDOcaBnRT+MK0xyR
4qzjdsR0rR1Ka/1QMyT+0OTJ0bHMp1yuHxjUN9GsAkAYZPKhBj40cAXW7mmSTnOYFOib+EXelZ5L
DDExQM2mrRupBU5tuijwyhQe+Qv2DY80m0z3fTpAO5ALz0VjvAYY5PjVgrdgVWBm9nN3dA2RH8mr
4cOp3em7OcJFgFcKpygsp1xsKz6qniQgW3NdHXAAtFjT35UtTSO+zsnzUuuqsYROzz6Chyk3iSKV
82vHsb+lXCtHHkka3y21kyppRlNa0ULb2Nwr/qGNFi6IKCEmuY7X7jqn8/gKlsgZCUqRwZvLcMP4
9apoxkEtUjwxClPsLnYUvf2yOFvZHY2y0mVI4gXsztri3b1WCAEVfum4IBOqdbKUM/Ksip+87TEh
DBwpX5RNFW5uPb3LUPXv9arQ3yV1U+anmU6iyML9c6vNunto82kmyd8jxmWkBoHNJqwn0Xe7yNnU
6qrjIftF0FBok4iCdVLMVm5cL1RNPplTmXz3EPdlwCqAiWaXTGq4re7ynjlT/X3oBpugQT1qH7Fj
DHA5OuvOa/Ruh0DMIXaINRasWN65q1m8TiOvsyoVXgah9+dt7wDMl8Y84WUcX1DhGIMUI/EmDHSc
CZnh9R8oe+q/QKIsD+Wi9B+IsOVHeJKCZkkMEgfSeeOL1WIXwWU1z6GdWLUI5TZycZBMtRiIm2WY
2qRnCxZcJ2wRJbTDRY/YlXrDoWTfVON+xx9JVUc6PffJvBtxrFyjoCydkxxCHICdoGY0eOoA7u7n
oDKfU6rLnoiXEWJzGPIfILR3yjP2Db6is/uMr1J946Pa5fQ86Yucb+htSu9yt3dDaoS3m1YAXDQz
k1c1ujw21dx+moRubT4rkf5sd1l2x1S8+4h0p0cIZ9ZdOnCpQhuut8Mml/JAMxosB/zO6V1VdRN1
Q1Zm3XER9VxU/LqI8P25rD2I+VnWfR6mdIDwM2jvxpzjnRflCoaoWWOXAp4j2b8VSohOqNQa9iZ5
dphwwzaSkWVf5DFHNj9aS83LKth0tcHsz51WeNfbNHYEw7rhw5RxXDfH6b+0WgqWa6NnlUE/yLwz
rLYV050Yv3q0qNyZW6/M/tR66d2S7yhZzBv1+hUnk+kCltFnA/6uMcP/vNZ4LHchNMM0UDK6qEBz
ZEXDHUomI0FOVXvXaat1RyF58r6zs/TWtmT70U7tMhRQceDh4ZDU/MllEUn+S49S4fbkE9UkTLGN
XQ01X54s+vKecBr3xTTJj0bH3+5UJb2TXm8TD3Rp8PIbcud3ptFXJxpXcRoIDxEnzMs5OWe14D+g
9Mj1ASZXIiy2jpDdxnWOjNWML+uKaA1UYfzqpKYVJMlanbRB7Ge5zIA4ddibnkDz/j/2zmQ5biTd
0i/USHPMQFvbXSDmicFRpLiBkSKFGXCMDuDp+wOVWZ2Zt+uW1b4WuVBKjAhGBBz/cM53hm9W1fVA
kSteZG6L7J64FvlmprHzoPkzTnJZqvhKYEypB61VNi95PY+3ntP234Qcs/tk+biNJvTOdqoTIGAN
PFGmTVvfdRfNk1bFVwua5qOXxtOtIG/2p5irZKeN6IYChvbhPUIn61CLuDw7puIRqzm7p2Qfn3zB
RmZWCLqOc8NIfKPBEv7pkvMMPamPsTcyb2nBJ2NJLXE1V6jeSNUtNBToTnhvxbRcgezbejoUwwAS
M+75Js0afso1AyS+aZxZ8TXP0koHyD1XtxrAPBBkU85nLVovhjJrVl65Aqf9s/I0eqZBFNCDClX/
1KpU/2ZFCDEG1eqfzpCiwuXSq+84LeaflZFK4s+McspWDU7AT4QgMxZZ1C97TUreFoc7ebsTKsND
Q/Ks/jgbuXbvd4LTzHWGz1F69R2xdwz+a0PedFjMvwNkq+/0zouuxBIQGur3HnJOD4FlGy9CEo/r
G+xn91wnSSnuGixwnPFVVtiHCq3cTypq90JPHG5lHzYcYiSvMjftTFIDQ9N7nVuvuwkLGe0GaPB7
yyn4aLhtns3GyjCMulFy61it3KI6b58aOaDtmuOfXVTxv1o8uetwkOa77UdQTiRKNWmhwDNM0KD2
YDo7nfcrYKNprbOu4TpEyjrdkyY33lKEgC+y0vCbkUfWKteqB7hTF+zECbtIkdDLgJxUCGlJHvGO
MFrIwitkw9NmzlUolGioLDk3zJn1uki0y+gADCwnO3zAU18d/DHpIw7dYg70kmVjrdviYCfdcZgm
LPZcmxcRqeZcRm55jOISsrpBbvLos/5jhPrm24gcCYMc77NqMD+gdR3rROgcaXgyZrOtN6Wjy9XY
WadxTK1n6m24PVjM30meY89UdTC7NeNQh5XLtiymIB3wyj57GN3vRRmrrTvKvVPl9dpXGpqkpK72
QLDemP8V36GDgjpzK94kQ4Mynjp0OCt3miwQB1nWHjJNwFMNNQwjhSW3LYq7U6z3kJ0mpW4tL4Oc
lqbtQ19rDkedH933LU/S26F72yPMChhMTwDHQusNsaXzDbltvk8S99uYimLHuBQPnaCUw5I8gSJO
VHxJPAY3lW4cQnPW32MRqi02OrEjX5JczKQ312rgYmxl3IHFY1QYTQArKC6s59SyQRaN1ZbLiQO4
SulOI6f2ccv5/k9wj8bzKC39xi/8GdVCYT1C7EtXmPqtrc3ZdSrCFju87bp3E3m2W3vAxbN1qQuD
pmvwmoyj/JxZNWEojLrkpk75GiQlUWc4O0uo31JOcWAVkHVHCZmABULgz+CWetehoLcicNnTmB0j
Ve67jPyAwLa0czWl490sjOcOKfCWSxGMzpxSqNkYWIi+vCksO3xCDEeZgVk14whMA+l1yb0nmnkN
d9M7tVOysN/iTWznWZCZjX0tpI0RPFa+ztIinw/TVA0Xx9a47RSelnHBOeVRRiPcXCyTVYB+dtFU
YnJNA6IbuIzYoQ0XmE7pS2FYzs7WGcAzWgOGX8+SkUafaOOtjwf5PDHMpqtzB1ifUBuyo68ScW+7
1rFJ3XEfDh1WyDa75HzKp7ZETd5aVc5yVHWw8tvuzNyX2NA23ZNA6b/47Ezpc96aqlzE0vZMZA7Q
VpwcsRcgHdRfkKc2h8pw3/XZ+Qybqn6lYs1fc7haHFqt9kS4nrY1hz7adG5f3JGd661z+Fssvf1u
Jh0VaT3l0LhHETskRzD3yloPrmjdvZvpSG5hlVRXDXpyFJSTW10Z31SEy3lpRA4WmWQz31E7JaUs
Le+M2ivunIQ5MjxRDlBiI7uPvDXEe9mm8Qe0MMiYhsYD1qgAjnaTVg+TZXjqpaHi4XMj0HGLtA+W
6aA55iGXHncUn8Ay7pbMzuZcRxUZMZA8VNAQHqmP6UwzLPvHKBvbjyLDJQW+gyFCO/XFz8wqmSq0
cxe+ijbV34lq4U5fWahwW9z2r0YGy3RFELcGwHcO2w/NlsAwjHnw3c2c2fiq65GDoY1HVW3diPTr
reUrJhr9GPP1iAlXG4OqRIcfOz1KbB+I7aut2/yML8e8IfXRB21olYKvUWkCKF0PLa8SbSlyqXWJ
SsuliRl50jSxyvaUzHZH3yjKQY9XSqok2lK88sgzuNDqYCnGj2sIBZO2A01FCdCxIcX4Nhb+OY2F
ReRcU1C05qHDp6QRH+YQ1NGHr0MzgK6KemhmAYLw4qfRA/8M+trEXaaAmL3+ejPtQYug57GeTFZk
D6NMc3VSywP6iWoHQidakTvSZitmQbz1+B3KBxv9WLnLk5RxD8oCvP0gTbO91JkCXY3aBohAJoJ9
mgC9PdgKRQUfIfvWlQprfr/MtZmHNFJk6alFxTDsignhx8UfuuHn4DAbDXoD18/F0XQwc9Ng7Moe
lX6BW+suc33M7ZA5xSOC03Yi7drC4GD1/NJ7YxC8RqpyXnVShnx44ANKjf0fCVu4SRKuXWb/8bRm
LsO7OADO6jgkjPYjoXshHUxREU/t0H4mGEDynd83CMN7f7GsCyAg4yoXXD+B4uOc9yXzv6PCaUd2
WNVR0dmxJdODcBqGKDDY85TDJYHyxzVFw81NmPvXqugXhGYJoBTfz4wn8BoPgF3rpYTM3dKAi4g2
8ElPCXit80oc2Uk3ewgH5l2B3fuMlin5BrpaPSlQLL/G6v/RoP4LDSriG7Ym/5gM/zfkFW6pqnn7
qP7s5f31M394eYXxmwBB5zNhxbaH4PL/eXmF/xtrVBBPQLKQoLmMxv8gXiFB1dEUYrT12f4TFvYP
CepCvKI19HHfMuSmQPf/HS/v34FXaD89z8Xt5no8neX/PcxqIamgrcAjAhCyTv0tehJv6l+awacL
OVKTuKBLqEy9ON25bYcj/2yiwieRh47EdlEDgl+S0XFBk2bmpdTwabKDBnMasdQgD4aOYtdnaTeG
u8yjKUzOdqQGrO2wCdKwhyTCIWs9CXtgQhRxMLGxirn9FcAlyV4ASkSfBlJEGxwQEUf2apxqzOS4
cy7iykF8N0oGBytoxo2cHsAusD/feFak3DsGOH3sX5Ok2yiq3GW/6ZGftMKlsoBh+mbWmJVOGhLN
iGmD97u68D9Xzb+4aqCJL9/Yf37ZPH6WjPDaz88/Xze//9Qf2m39N4e6kkvD+hJn/4GJE7+ZaGJo
mHBgmIuA+R8XDVcGXkZulwz70HLqy77zd922af2GagWFEqIoG/kKO8r/+j8/xv8dfVa/L3vav/35
z8sfgJV/XY4gnEZWhUQcQQDxzHz7/7rUcuEgabGyywMcmVaXO9onDEkQnBXW264gdjAAZWeoc2dM
8KFojdd6O5o7Ur7dfV1YDBXssCWTFRXSTQsi5nHMRLZBLVOuo8hBxaAac1NEzvhSjGQYrCduxG9+
VOoHQ4p81fu2oreJAESH7geI/O5AeR7t7KREq0TI4koPoYHNM1raaRD4U5AcVAEVFDV8DB01Lz1q
s3SqXixZe2/AGosDRKJ5y7xq25MqsBZAG1cD4P2rzthhX2JUfDTwurCybK0uguLqVC90PvXOGLT5
2A450OnIcJz30CORKWCkBFKqaKLoUjUAPjkCvDNuTHHfq8ZYl7l7N/S6fxEpUWBeEUWveUxYkA9a
fT+7PeOppA7xxrJLbdyw3KsEoVxjTneVrNxDUxolvsRs4hgZ9Gvp+seozNZ2NWa3mhdqbECMLNAn
RbzwQmTus9p+aITJ+Lq2BBx5y4KnN7aHvp014ltm/WhlsXbMW+YAmVHPq1hL53VL+tOldmICI0jt
0ojrUP2jnkhrY9AUnaOwsHeW1Ist0VU2j9rOd3JhmbmJFgZ0V4+Ix8YfU9Y7m1alUFHdrL2bEZRg
vXXyrYOScq3Jcbq3ktR978MRLsv0Cjm43enSTPf0g8bONPzw2+ABy0vT0PnwiEqYLv1kpBfKNwL4
PAn6bxy7YsOCYlgnsQe4FurotnZgKk/caBh82gZYqw5mP2izd6D86mekJn87i3JEk8uAecN1Y5H2
q9r8PKXyKcZ890SpOb1pEEDNoJxtcSFIdTjRe7I8LwQfcuKj4peRB+zICKlH5wzJiHDKK/PX6pIr
/SmGS9yBL7PqPTuu7G6saigypTlcjaLxT1YNdC+QuUVzmOha4e57rU+mLes1HEE+mtwMzcKojk4y
b9PSIH98HhsTqrr0MIcDrGJYaBRLujh20JmyNDCsXpQrJu84JlkVGOu0xlbU6kWCv24ubhkv7X27
hjhG8vKlcYw3ZgFueK5JXYhPUs+fnaRx74vK3oVwILQDkHtc0Dv8wCni4MFXpf9jJhY52UThNF/n
YWxv297wChSdZjifrRJfsdf1T7YczdsG2k3Tb+A2P6IfTDd+0+sbsGX+UVWusWCk2nxay9iR95Ly
P1WrhHXcXlpu1jwZrK+AHjEwLEE0gjas3GPJ5q3V1gX9ubhyUPK+F4QBbUMnLVkQVFEovs9xrUgt
lFp0U09u4T4LNJw1fmgMVXcIB/vwg7YaIGIy+wEnXBDrlmZtRF898M21s8AjAV5hQ7Z0dllDTtMi
AH+9u5Cntb1XDtgJ7SpXWlAxsaWX6b+QGvC1rIuiMvhWkEnxlqE84JsiJj0iDbwTQNRrNd6WnWt9
TBbWq50RjoPcu1PtlutBS9gr4koO/U1pk+dGlxc1ZM+MjDVZJANMJF2DZgueUgL21qIR7bKQm7rh
Y30jGThJGc2woaiuLliGylmRCx+b3Rf5QqyratCIsBoB+DIEda74NMYt2D7+KHJUVo3Ne7xyGE4/
5sozTg0u0YYCnqgdYvp8tUtxm1xYBTCeSlgZs24O13aWW93K6E131+tGvGOr6O0qKPy3pZFju4eC
CprZrs5jbMenUAIdJ5GcLOLc8lwuKvy+9bqHLR90qWMcPbdhmwjMims15fyKnGRDFp+pbQVG6Aeg
VenGMdqZiBBFvKOjleWNG/fVvTe4zk3n1MN3m4UIfC/TPwHTMzFnN/qaLIlo1zXdDKJ87nMRFIDX
f9RT/c49qrmh6XG2yg0Z6A4JwQKGqMUDu/8Qg2jqPdlkO99ZlhZycyjzQx657ZU1h7Zd+pbjUIrw
B3AmG8afvm5djI0cneGeIYJ4yVw9WbeF730ntJ7msYO6uU/tejwxZpsv6GeYrNcjU3mw5K+xYepH
u64I54rGLZZ6duSdmNNVhysEmzsO9A0bu/kWZVNKToW/a0HFPyHFBEbnDP2OgK15Z1M61kFKTB19
KwZGlTMEhkdBoBA2X++UEGSw8amG1xL1daB4/oeRWjYwFuVBhNL+FtiWWg2QDjZsLKMd9lJvmX8O
eaArK+ZonK0X06wb7oUgq94GuH0X3Z31z6E3QJpiC9hkIED3Tlubz8sgbGP4JHBIvY22zJHIGYEX
eJMJVX8DaFlfeoZptzbjpDOSbqIM4jIleAn/Um3GCGYr5j22kTv7fB5ewZwlZ8aR8TNQWHFD4BVy
/bR1qASKmXAQrxLE75jiph1ZX6wSrvxbm5nTDttG84ZKYVVj6Fyz9O7umpbND+M5zzkUfuvfLZHy
Jz3NqnfVRjDMoCtssqkSh1hEz2FTOiu9LATFg4t8SZsW/y3YQYLNtJexDMXGYopyocQXJ1NrE6rt
JqrXo2bK9WIITYNR7540o++8dd9GbRtYOGJhqwO1HUbHX9WI2ODJk+O0cBk65v/egmojokSPeDTA
FphWuahJUFoz9rHfjJFl22jFOHgZAXISNA0eOq4qZ4rdB7NJvYhbXlSAH3xsnUkmd19F63/q+39R
3y+snf+xvr/5HN7+asz8/Uf+6IohXCHQY5r0i2IlKNX/QbhC9fxHG0zvLFwTxjiQKVzSOmq/Pyp6
m79CgyzYzhmI9pGw/a2C/58qenrrv1b0AtHg8jSGb+LFNP6bVjLuAK2TwGBeXET+3yZlwWE1da0J
7Blc/xQXFOGjrI50BbUO3LUeNmKOcDc7Xr7rjbY+2+BWjBebGuiGbCjwfPXIgYVqpR7tdc8a9hsU
2+Gly4pm3UUT60fSzcaVPxDih/o9BTDoxOWwI6FBR6XaVt/LIRyucwNBBeZ7qXp4fiif6HobtU0K
iwDqJi1W3HqHPnDl1O0cJqRVION0pKGNKitFdGmOt9D3XWcbk5cQ7X1Ln/v1grp/T/u8xVo1ZdlH
7Wr1NYk4Oqlwi/EKwxg8D/lM/O4FGSYEVpGA5x6qqbHYUuv9KHfQD/hbE8iucey9aLqtkaZNh4hU
VJLEi2mkzuMFVicrnBkwVjWAzTsDv+udj8j7fk6z4VrnC3nCZbNKzLEXrcK2wg2kGndPbGJZr1Kr
Ih2KeKxxqaPQWmlWM3byAtvxqZMSMBA75FBAt9yHup30OxKzI+7Fnl1i0XabRMwCxCJhweR8ld54
Y7ozK9ZVNw3awWr1qieWLqpjZ5UibC0hlpGIgZLhuaUkbc37IYNM2zDYYZIB6XsYb7JfsJPii3wi
q6gptvKLiALc2wSPgkINVkoIN2wLGHZBqNjtF1ClhmXSnVss9bRJv7AromUVDr0GIum6ttph+eJg
k5rHlORYbUzJf8wKR+XDsfsFgNF/58E0bYv2owDparATfYl+wWPGXyiZ7hdYxv6FmfnPgVd2STf9
iwMP/arOifHPBxqHj7f4L0PA33/iH+cdAz2s3pi9gaQRV/CnKaDu/maYzDTwh6LH5Vj94/BjOiiE
L8Bj0J5ZX6z83w8/S2cGyHCQzahtLww58985/OAA/u3wWx4BZRu+dub0sMX+ZjeiVql7uJfODYNq
7RCF5VifyNaZkNNAZWEbvZBJMhOLIcnx+cOcSNt/xzb8GWOCeKBTofklEv0RcNn4nLlacmKCMzKw
Ngg8QdrgLLjcufXBjZvz1N2zL6S8iCOl6idR1rTrFMK5WZwyn853GPI0vXHxwRM7VOfeFk1CeSjC
CUVo2oMXpZ9Yl0VugYTySGhO8NFuUr+/yyTUjSAVKjznppRnmrJuR2FYH0nNVh8gaF6tovM+LL8V
cGQqdydkIl+bIhMryy4cVAjtG1UDmTRov9AIulybp3mKx70gonfLB6XdgLUO0TUQpBEz5mnCVeMb
0UC8juz1YtjaLdFigZGo9KrFsfEMy29x88s19kK5apNY3E94ye67vqbl6cRzbif+0wj09TqWTIik
4T+Po+dsBkEivTkUd1aq1Xurb4ybhpzbQ08Ey4q03ORcDIQvEUGaXAj2fvO7GiYZEuiNjczlVBOA
scsrbXhvMzc8TET3bbNSB3PMybWZU0//XEzYpOzAHd/7RvLZ4wjdsKYcX2zdI9eLdopbALAn6rDc
ezWMHi+OyxBj9KrnIimea42nLmvSjkWsBqwcxPSRLUfYVpaAkpOw7gOX7F/ihorB1gMz8YsHdx5x
mLCYlYflG/lUD62zZcFN6Q0PmFua0ddJELsuDv6KXOdSGwYShRE10CSjXehJEtKjewu48S2hMvM1
VLFYxTPW99g0ADclYrR5FrPaII2xdsQ5oIcFlJY8KADNZxt17TmeHPOCSxNzH1TVW9WQNl22LamF
npWXAeOObtVnmvzpo37tg0hZ+q5wU3VuZmREo12iVgw91KWjo6IP4m+xvEmEBnjXiQ+ceumedOmz
QiYETgDxmUTgND7VOWMrZhO1wxiDoUn/zRwn2mxWbwaStayekGCAwTWieCBM1EDmphUMnarC8E9D
AcE96KSFKmeoq2brK/glNS/KrR15pKFrnyKyDIpggLr4s+rnauN5ub93k8w5N7b24TDBCUxCEKHL
hRHqhEZjWgmVGlYyYrWtmwr/GYN6FkDhP8kQ7SvssHib4yt8Hxw935Lv7fwgR3Q+zmMx0CwPsbNT
DXqdRu/UC/BA81bLQoaHrhduiWLyI7IJ1HSqlEab7HlhdfTgj0mg9rB4J3Tbt2hLq828JLU5DlY2
SHvIUWkr7ok8sHdervpvyN8qBLYlgvo0zJjt+VFy0iQ6CpvOrADiya8ELxBvswHxEAufQqXWDBPZ
E0OKfzqcNgnNw9Mw1iM80FrfxrZgXOVPfCSdFV5isoJvHade66HXPCaAme59s983pTlfVQ/NvRpJ
9+25rInfNMYD8GyFaMSpbtHfE92umO4GlAHTAyMKeSnawXg0oCa/olyp1xrhVwFTT3WgtYnDQ0m2
3cOY1sbKr9qVOUpxKVxtI8pK3UVW3Szzt5QJlkcTB9p6VdklwOQiMTkUan8dmUoc5lr/0JXt3Eir
Lg/4AYwDSZFOkOhtsaLjZPrJh7xraGfXYSIfNQpEJOiG2T3Mfjx9Mr6Tq1lzp/2UFtYdIxjmY41O
VAg+byjwiZ3tEFTKdRJykAtj7k5J3I9PZS6sbS3LaOV4g3MRrFGDquIg8rFurkM2Rd+Jd4r3E7L1
lQZRbtNY3aStU2Bd37kJzojyfIDDaa0Fo4rNFUb//mcaEsdp2Ul139aOjpqpCAhTEW/RXBDPpOf5
2oCQBNCg1ZoV2d/xd2OOunNT5PdtVfXH2HfKldk08oSqqbudS7vaqtGbb4We+NeWeUwddH04bywC
5XaFVUGWNEdvDY9xWPeEFH3CVhw2yh1/EHqM9pozMw/CTMWrBoXIOdasOqikrZ4l+viVpcv5HuCB
v+7MyvmOp4prw3Qk6mcPXV6SjZcy7jUOrAhRk51Yr1kOGdpz6+RGD8tyN4tKf1NFZK3Hbn4KCQVd
GWoy9vbgyAKFPUm9SaKPiBVnj9Y8v5+FfljcPIzkTJ2IOTHxAZeG7a/dZLhTMouYM9hYq/qClBqn
jG9Tivsy0OpIfRNIfo4+sOdj5MXyK4vN33NuohnqxLkFHHjPWOi2jxLkWjnSYSaWBJvy3XtMSYJe
NMoBl0SyK30d9eAcxQff0+6ziYyQUTWVR0BHGK1wDXjU6k6/XSbNG1TBxUp44Zk9f7YjlLI/hIyT
GCSjMlMSxRsXVLztC2SKUUeOqDHm6N+9sDhHdsPxrUL1FidC7jSQUqd5aN0fupvn700rtRu7be5a
s7AfcDk8icmCOuCH9Vkpk+VAR2i2R4Dxprbd4YnhYH9E3PWWzml3iFMsYXWWLNiJKdv35OeQFUNs
45HwSFLcksi6hydb3c6Lphgdtj3gqL1DUWd8R/+ozuh74HCbejg860miLUMZ+1zIJD2SJbmFg1yv
cP5dMSp8GzVlBYKp/CZhMhy40ZA/+l4kd4xA6iuKJX01thL9eB1+elnEERjF8c5rfZQEcZvvW7gO
59iy1ElC9n0ZfAI93Hao1nJGvsZief6J0+QxLkoiwbPUfciYimw7PetWvD70Q6l5YcpZbmSsv4Yt
stSistAfy4qMIW1CujeemdpZT3mdlccame7G0pphB2jC3yZjFr425Kkx6Uya11ErnQB6m7+pBmM4
kFPcb4k8eFU654ovCn3LWhfeRFRs8j5+03oCa5oJhoZLGMXR91m0ZlFOzuEJNrMFG7gqmPPlGB8x
/yLLEm7+lGpO+UBRlZ3K2uNWb+tYAhKVeem1qjp9BxVC3iBb3BaOKXfeKBriIpC6lKOt7cjqLbYi
NqKzi99jQ+pIv4/CNEFMinL+tmYaf4itXN+SpAetK01ZslnqlfVdSiBDY8udIp3wKpWbrjK70Y8V
YXpb21PjW++FXh7AmqRIyVrHDjIoagQ0A/5i5TSPP0pi0l8dLNeCMvetiPxwzQv5WfRFvU2L0ode
W2oNJFjhEXieaftoJq9uBcq3gANvZeVFjmQJm5nloAkv6pjgx+gDKaaBZGgmuahwUIvYvkAVmaVX
6t5Vl4h8q9DZbEUouYOSU3+cOQcIn6baZAck9qGpCdTJnh10hDiBtAT0wZo82mCLagJKDxYCeXZn
Y1Ywg5ZQ0lMYtihOSgOxCh/1K/1rtDfGMNy4ZQ81MJra7Nigq1pFsdaua0WINiyG0H2pY9EgHujd
xdgi7lzJDYkdV5TiVej0H6N08yu+Kg6EwchXZpgZ27Cc8V49eGPIDBQ9qxdXP5K+GDD4FGXuF4/u
SBSxdQxtL8lOhM361aOaBt41tF0j48fAL6mUg7TBsmHip9BJgS9R4BAjwKyCmU3EvKAL0w7f+TR+
gqSNP5TPK6RGsF/4meoVZnW4nYxBHsIpJFBEH4AToEhOjj3AvEst+ddV65AfzpVnZlOz5RkxrPk+
U/sI500CMqUKIjmWH00o9EuVjN7BQZjJFUwzd+P2zuOMSj+oG9v5sHLZhiAPZ3kCmqI29uw3901R
m0HqFM1RY9RyJ1QcI0OqpiioYtXvrZzYGE6DaU3VZ6wrixKGrr9AkZ5ke6fJ2QHntnESZYu4ULAw
SZCYbkj9Ym/kTAVJlhrPJzJZQYwZrOcWFRmZR4ks0LPpGqhokQNf5J27VxjxSEbvpu/KDq9RCtUm
ELnPfBwh63pII8LOun4Wl4mA7FXatQRgsjWD6257To+cTHpXj7twip8KdjDOYGrkViLbGIs0fYy8
HBo8pSc9UzvcTOUcPRT23G695c0OSdveaX5H92UbBWCWcFANmrpxILRBQtlL2/ohDAvRgTzln/Zs
+wjvbMr7LiKsJKr1+lsTN/qLjqD7payib2HhirNlIJ5DyyVIhTIkmvzSJ7qhH8TJ9Qv5gLmhLddh
SJbsBeGJdVfG9Zs7N4hG5TyyXtRiAasW01NCqkpkIatGUnfN8il/ToVkRZqqcIdeAHbxxApoRyvE
srvp1ceANYjcaQvrWRHJNa+o3KZNykU4sqcIGof014DWg1qnxhO/BvGj3meqPip+zW6DphoZqrkL
ZrD08+S+iZBTi3rGgoEI3ti0nqZvDBeHpcoIqYnnOT1jL08Ohem7N8g9aWAZKa4dob3nXjU/sTNb
ojEJu8kCcpeqjbCz6TnjqDD45ivWXKk7X7WpmtekHoUIjMk6BTntrc2Z71Uz413TCaY5sltPVpLK
d5UkfrUv01BHHY0NnP5zKWR1uznbJsU14vhF9DhHGzJRFGDpFsNq/VJ1yiuuOhFUJt4kh2asJhZO
4ByBqrjqY6cVCiWwM39oUynUre5r6d6JwYAl5aBNz105yvFxVlrK/VXraHi72160BLcB73ENApp8
sxnVibek8XBKfU34zF/jvv9VWEMbW5023kDFZsXr1o95Xozf/jT++f8YhPW/ERaEt6Q02GB4qMqY
7ixilD9zcZj6qjQ3dXUD6stea74RB7oBo38sgG9DAY9ejcIkNcU4mpm9Za6JMEPfeG54kf28IZN2
w6+68+cUn06y+59fHEOlP9Mffr02B7Ib7AdEMX9HSxX6ULO1M9QN4V43rqRWDPfJcPPvPwncjCV0
wsKL/fc3wEbyRdM7qJvEAKTFfw7Za6Vbbb+e5j87mH8xkkRgspAY/vlI8pK03GGa5M8Sq99/6A+J
FRNGxoiwRvA2GHxJ/tBY2b8RdfD3caT4zdF1nZkj5hVsk8uT8/i/h3AKiB747TGM/9vqKkaBf/t6
MpgxUD2SfIJNxqQT/+ul0+ANq4E7xUcGFtxc8jxyBuS7X4tt6VjDdxEV7g352NV9glf6ZlY+oEWv
EPqq9Pt0Q3KneEi7bJ6oAsfsGn8t01mWp3DFmh0dnHnslp07O2rW77Y3sign05q1PC2fu52WXf3A
gPBMFcQCv2KVL5edPkRHb4dlMN6FFD07sgmZakSFFq7bPnN2cxI3h2xRCfTthBV2bmmxzB7jfFAs
igKSMtUrE/0JKzeCsZVJagkcHaPbD2UV3lc1lX6QaIoUY/GeZTN8myz3LlRnIUnco9dt+AdAiSnp
t1k4OlcVjti3dQhwjMBC9rTU4tY+awzth0K3gIeL7tdMSw+VfNF8RqMR1qu4kPotbuV+15lmc2+1
ljoibEHiM2XkRK/M1PhMBVvk1GavKnNpkl0H9PkG/AC3MjlrP0oHz2Kgy8q4gYxckgRX05wQnplS
kO6y2BueYtl1D5hR2S/n2ty8W6EbvTRalvmr3rZoTZyIydpcYkMmQ/iQL9BrhAfEEMW2nxFttgQU
1V9ZRYalnh3DMXiTy/w9T7pu7y8JR/qSdTQvqUdkNly1ObKPWdNJcgbIRZJhTjVouy12Hw9QQYMb
IQ4EIydqiiVUCfcNIlTepZ5HW1KXjNbMT5PuMtGtCodfdMloape4JoYhGqoFIpzGOswfq9KKn7Mu
WVgdpSSYcRpxCxcOzrw1nTvVBUIGQqKQhWeHurH6S/8VItV/BUpN+hBu40Udn0e4XFdqiZ7KZ3Mp
e/xR/Uy+sqlQDpVswfOF+pzG5W3iULNZaHnOABMhMMwTQ+bGKy6y09Kz8RWDlX1FYmFqIB7LXpKy
wq/QLL+PrHfuRpYkqMR2wJmTr1VJUexnOaOMGpb8Ldx3+s1c2P4dmiYMB8R04R8eVjHBXU5j3yS5
P/wol1wv0YAJV19hX0NL7pe1JIAhNCQMLF1ywfwlIUz7CgsLv4LD/CVDrFaCOLF4SRYbvkLGGDPq
3ztyCspVVNYAAxBjvTaTYCYmlf6G0q8hLWzqpvtWubm3t8wMjnVDE7AH+g3R+ivwLOyW8DPwmibL
VZIgsDda771TQz5E0ATyxW1m0tOi0ntNXRLVqHwncRiXnDVM5JW2mr7i16yvKDa5pLJ5MflsYMj8
pyax3jXBrNJBJ0JqiTN92rIh2q39v+yd13bdOJaGn4i1SILxck5WjnbJvuGSE3MECRJ8+vkgubpt
1bQ9dd833cu2SoeHJIC9//0HkiiafRIlzRNycoJ4qpcguMZkwkFtwm9dm6Q4wM5xV7/Ex41McS6J
DyMrfBzuHBkRM9fnrOfBJntOmxS6yOTR1YbusJqMusXr8p1HdAKNHQl2Jerxcx8tznZ9CbgbTNZd
CzYIbQlHla1lsvCQyuX3kDH9I5pyWGPU0sTmeeEARdpk6a0em6lybQL24pewvXAkdy/Vosex0YTx
xSaXjwQUIvoSk9ZXvgT39c5IiN9q8vySl2g/2NjdRxWawD/PZP+RM4FXjW8SAT2TDdi+xARKp1C3
2mQHFuWaxZS0JlIQOyp1sEzOYDCTOIiT+/xBe41zRYNFIOE4m3BC4WvmKkZHdZORmwoKQ0LqLsjm
5Cxzway3jt09pKXE0KCMZ4haQ76tq5K0+SY89xiE4z/UVHekH1U7Rc9yVpRsm3gU9SgW68e08aej
HOaEcGHPURs5wPfbwCVFgDoqctXsZf2yCrXUe+WACbcAWXu7zehoKxsoAj5apaYLr+qDZtx6A3S0
P1cLSt9Jh15T2k+RLgPsfLAaccbxaZq0LG6ShSmXS4TzjUPDcGAWNdwHdWXfQ0xIb9kWlyOV/nqm
wOt8r2nue1jH95MjE3dj58g1ZyT5T8JiDI51RTOfZzot30dN4LJJwUol0bZrbm30P7dxiF+LTGsf
jKD0rmM807etWpmR+TgRbRxOu+1S6/x6cuPp0INKFozx6/q6iG0uNyhJI5WgoBtZWR1Lnfpx4wwy
uOwdLh/HaPfK95uEDgY91YMXDcFZgVz6MZ2siKmeSrKvAmL9DQLZqT6OVt9ealsn13HbdQ8r7/hZ
yhf/3BFjcjbrwQeg76fDghDgI1F6S7tFRb6eUgdzkMIjXgnWEEjeCDhX0jGB1+bOeoGbQ0iARdZu
67m47eHyb/zeFTdJW0lvo50yuZ+JAWyRmV+h0MP/oCFNkbU2tbfpGuaMLYLmkRbLgQe84iuHxemx
6AfrBgt5JfauO/t3mGRkoDAeJhRAeRbN2tLxOfaozzXBBXeMKeZjrOP4TDmTfD8kbX2rHF+dWE+I
IBpsBDeio8/kEaUwp1etMeorEKFuMfju7zC1AXWXhSAdJA4dtIq5fSpwyL2Zyjq5WsN4OWN8l2PQ
QLHexNFnG4eLz44Ubrvxpd8/5cDVHxl4lmeytbpjI7B2IqiDrYbXL+OQxm3V3zL8DQ+5KsrbJKYE
6cIQb5XRCT64bR7duBpX/JEoGMhwceXmx3UmoGM/DK7bPjQ6fkLVhbeGygCPL3rZY0llNxFDAlXP
8Qf4oiXKr1j2tzgC5fJEqjrY/hoEpQ/WRb946QZjzjkGeEzOoR6znMlDE3PnW3fVD0Of7pZYRJpE
zCA8dDi2brOmCZJtkc53q+O2xQWmKLI+TaOVPfmd8PNnN2CJk1ZR2v5+mNchDTZlsPRrcEWYEM7c
RyyHc3s655V1h/KcsGrYnM9Mrj5Q9jKjLq3mc6EWl/jMKXyER9yd933+SFal3teir8/CXnZbaOjI
3trlPqjWD2yA37w8ey7G4EM4zdMn0UoqCG+Acyz96QOWpDSpYVTdMrDYz15tXfJw3E00dOVZU479
N7H6TAHGjiRrBtsiIgBqyqvT0OrxTvhziZ3J5GXw7oY4TR9BVIZ9vbrrXbZS7zAQmf3aevV5+m/3
9LvuyfMDOBj/uXu6oRxum596p9f/5F+MjuAPsrMp/904FMZk71/tk2NSAgIRRZFPaJ/NT/2b0xH8
QaEaGyGKiVZxTNP1vYl64XTQiyFqCbzQg3T9TzgdwjX4wg+uhxgrYsYX+q5vSCIgOG85HXLC2JnA
69uijAVufMIxvdSQouKPk86D6h/0+CK0ld0MBzjXuGBtZhPhVKKPnJfr/oX1FJYQ5SXnyCjuybI2
1Cg/UhaEiYDk0k1HnBNYtsFoxqq3vzBVnIFuQsKXIqLRDKbjTk4LjNZmLrO2Yxt7GFxlfXGOTNj5
JnD9aDfsHdEny2BKSxCl52Fphm1tSj4vEV/3IPDJEfr3ukN4xlyF0Q2VvQgmvBRcuBvQxLsBXazw
EDkDdUUG86oN+tUYHCwwiFhusLHFoGSh8qePzC7cvWez1TCRD7L74QVkkwZvU1hAxzu2W+yfRMc3
3uAnMUY4blfdLrYzasykPLCZp9sxnYNPuYH7JK4XxbWPfHcHrhreYMVKJ6fzJcu3VaA5iHFqobmM
l5hT1R5z/RD640isQ9Lpp0S3DOoIkMXcaEnSBxRu5AnIlrRnpqOYY+RBAg1lXpYnOh7Hx5Ftsc9S
NBT7OChls7WJSXIOIXbZ6SbMRfcnmnRMF9Me2T0S9Prcko1tXDwiXHrrZAWkpc1F3ItlGkzpNaeG
AGyX667wpRx2QYUz5zjpPrjlm7g2syVVL7vYQMpsqsQzGZgZZkL2LTT4c2aQaJl702FORbDz+3za
TW0W3vWUnKjFszLduXps4ReDcuvWSzZ23Tt3lsHAG1UH54mHCg/2Lhj5zDmxW1g0MIAMjJ7ptkb5
m2r8PQ99Y3WXHspCfWU3kx12527pzVG3jeFkRNGeG+GhYldZ0916ZZ+1Z3iJOczgBMZqDULCPECl
X0vvkiMTp7lN1jhRBNQLbcvb1dQF4g5qMs9qdVT4UHdNPu9Ca4m799Wgwp6+Sho2KM5um8EGkGR6
v4RyF7j0DudFmwzxZUAO2ResHHW3LaoQxUgVac4C5ecpuTYoaq4l9ouXBLpnJBo08zNgN25rpZyn
vQYr12dLCgKxlS3Cxo1VBWaaDusAlo7N+AqFhGZuOK+pNZ7soQ4PTZrnt/miHURLvcIUrx2SmpWN
DgsD2U7n4w4a5jQzOO+UulzXfOp3uFuIbZvxNHcdwXbmSLcGnNIsrNJuAyTRcjswvgqvlrWeryvp
28ehDKddlopU88Z5MOuLsMNDwArza6vF9hfCY1JlDO3sYNhBGZqf3Fy2xxFgAH2oLe8pHYv1Lp6s
zxbWxawpDACgtvqF9q/HVkgcono46zi+oUtbwDOICtdT9riukdsevaQbmiN/CS0pthpQAHYi/eD1
Jm4LB30Sq/KqAn+oGALOZ2GRCGyQu+Eb3JN3/hRgrpL7cn2AHoPmZMY4sD0bEgz1os5yLoSU9tWa
FO6d18ysx8SLi3pfpAaIRk+0KXVfHNdFROeFRX2/i2YCBS8XZ24vQiGbdccnlUcYLnKPt7uRUvCs
2kPaAeC6qyfurE7b6iCmrNohX3Av2oAhpYgKkpcsZjEZ3d6C6dHq5TtbEJGCtgV7jE8DVnPPhT1a
78RQqQ/SXtSwH1rPY615i9qhUkMo6ATWeIbUDkMXgRhgH2QY2F7wA95EyGZHtp7vBqgaNkG01tm5
Jy1GLFvtMb2yUQFWntotEwmBrgzInfeDITXalE6dMPGBSZWMhFOPm9av0fcQXTcRBtaAhDg6Fe9h
ov7p8QrjaycXNDlxY7snyBHhXYBjwS6FfbMbXUxdQpAAe9+so7uvLB/8C5eV5b5hLn1d1e6kkAuE
tXMFoaC9Wsc1KI5R34qnflyeUmq6eIP6GAs3JyfSaauUPZLSp4qFSDOTj7ZqR97XRYuQDDrKkt45
i0oGkuK8Sq/6VItwNJGByFgIEOwBvaJr3Fqc/6LRryHVv6unXHxJf1VPXX/9NDzL8vmniur1P/pe
UcU+yl7mBRRN2BUy3eH3/aUJsJEL+CGEwAhNvAh/IMkKSLIktqKGNz6lRgbwr4LK/icFlBuBZ/9U
QEV4xKPMp0awReBzYT+j0Cwki641U5eiJigpA4alIQqYnHl9oZtLDKY83dVnuel3IfvQ+pamC8YD
OTgzTiMPVR3RJDdc/tVgOmfX9NDLSzs9ms6aMFKabBca3qFhT37yTA8+vLTjynTm8Rjl167p1qEj
sPw608N3ToZsT/viejQdfmJ6fRvPPiAEu7kdDRIQv4ACHHjl+wFTonMoHYAGi8EP7H5O3k92Zqa+
URvfV1lU3w/u+B7N8HomIwcUwuARQe+v98Acw/2SiuQgDG6x4im6t2YxnsOzpTabRbmFFUiGa+aF
oJ3Y9zxOebE8h2Hd49rYJunGW4Pltu87ecsgKvsTUurE4dEW3U6kyj3EWehQCfXZvb8EBew2DymE
hST1ckhn9zLq5TvoqoiN8Z8Jh42nhLu1Rbc+NkQvcQgtnzDOHORGoMI+wazPL/u8QTfXdL78mEOc
QB3KM8QqqKivo1llB3wJ1vOh9tAlZlqku0pF4Zb4kQgeQWLlt0gJi5NVpTd4wBUwIpGmrRnbhqSk
P9lzOyPka6bLhiTc68ypgwi196wftEEwSnDF7Qjywwx8kSdNHvlV2NvzJdb4+hQRmv2MhJAyIXbG
B9z1Kzw/SqvcN25H4smQuVC9oHderfTMh94JLQL7quaOqD/xMGpv/ED+dfVNu9J+dBW5KkG5NDe1
9K1rkYcHSJrjE/cKdK9fmvi2l1H9JIZcHZyogyIzuvZ+bsr1ONu+tbeYjwLKSnnjjLCBChQWRL0o
vB4KXhxzwMbxZyGKadgiIKTNJZkYz9+lMpo46GV3jVR2iZ9aj5UswrNNbbfqEOHyiHTUe4YhFF00
k8qPdCndtTcwHZ8au95a7kpQhETetzhWTPymFReXHHreqYI8cLJVUH0tMFy6pThveKfS9abESQnx
H9HRnyPmLzU0A+nEm34OKjiXoT9dNHkQsn9l2Tm+vhgM1klBJELlP2Hqa/85LMVyGcQlbuCenK7y
sANKJ8Be3Q1Wun6grndJTq26BZJVnj7i3urfRL0H1mzs2VQI+G7LEWA1c/elL0bNqbOWJFI5TUg9
2E8oeUYkPjh5hfRKc4MFYh4FyRk+YMkZxIDhzIe7UG2i3sGLNoGDComZEu0920h3q7GiOjVpb+/V
VPt7Qt3tq5DE1Pk4KSiaUAZxZs10f1OndXozZB6my30gPlZA8iawaECsQuagoaxP+gHUhSSirqks
ON5OdvKDpD6fVsAS6vVwTraYtPrq0FCM3FAgOc7WQipTk4ITpe9DBzY3XnVtghdS3yfsJHm37ta6
/VI5CLE2U1AvV2INa82j8fNyV6CjeZ8qKeN94fhxgpVNuuxE7pCnjGNX78KX6RGqIJFZ7pALOX8O
MsHCCjLd0PXwx1omfFfEoESIVzYixfvDPQyqQ0K8TZHIM91a7EnaD3hIuzp4l4Z1N94jB53UCUER
q/187VxprdsxKmrYqp5yy/lhKJY0+uylZZI1xJJU9uy/q4mp6cN91PlWebCmaSy+6LDrHIo2HtHA
wQVY8F9c5Td1AEphg0T8Z1zl3fic/VgDfP8P/kJVXixxbKATBHmE6plD968awEgGmT7j2g6fAFiF
qfFfShlkgkYd+KKe+Q6niNCoZ2zBER7CwTBIyz/QB75kGPyIpkRkcggUi8QpGJ3O21jBtm+BmnWk
r+JmtdYSQlCnNTTEGal7jRkk5xCJvCpNuwvpY6fpaI09It4GjEBwaRp6+gS3a5fbYoJBWcPtvc8w
D71lFiuZvLbVkuOfg2GgzeZyquvAS+Z72NkLIjjS0dhT32XJAmHpNNV06wFcSzZlqEjWTQyhpT5v
h2KQMZYITht9A3PW+XSaA1aXOkvDiZr5LAkXqziniOrVQ6e4yQ9WgwPBvvMy19unqO7Q/sLGF6AD
KA5tPhY5dGfD+qyNXAerLqQ7nJ1IDnHfwb6yzo596JKBNoPWPja1S6tGH3fiS7WMNCfrE6q+HEtS
byBFDXoX7g90esvQn61stYesTabnmEDrDfYjeGKwe2N4jiEIvHiF9dc2xnPNbUjUVrkRIQFo4UQ7
z7bqL+A9GSEfs+3lOktL5HwLp7Pegeym+sHSDjS1nZ2WRXpIvM7HftMFjpmO6lUt6Nhp4rDl1KXq
S4PvMnmGgylbfFE2te+6tTr7747w/5LO2cZz6j9vCP9TvW0LePX4L/7aEdz4jzg0jQJ+CGCpxmrn
dUcAef3Dw4HHxjoLrQ6g6r82hND5A0dhfjz0ItIWf3QC8vknnxBGEyNmIlgId/0H+8JLZtS/9wVz
OQ6cGo88BnYkuC8Ghf0h/Qx0TdcYt3lfYQl2xbeqXhNh73ABsvpxN46Fq98XuGGOB6lFVWOmr33/
M+l3XXPptBQP7qGzjONcib1MS+EaJ/jI4ZqF+v/dYAOx6e3gdcEKqzNZUmVtlVCY/25FNemV7PcC
j8MbpM0d5XFqd9b8LkPnMOyrYsIQeefpOHeNYzNMtSMGQXnvb5a88ONhW80LRjmHRhWyy7daZklj
vZrG/eSb9KNPkmMw5h/vTox7tuuYoCgaKLq0N3cH5qzTjnL1v3ZyVjGrLQ0zuIeDJ0R5hXdtzEcu
Tt7U33pmuPoRplLMpbnZNPB9GtLpl3c/vFu3r5/94yW9wN4/XRJ9ItY8Hsw8IPrY9Is/PrCwcJe6
lUP6xUFfVF518P3L89UzmdbHDI0Dmlssz7BeJzm7o20qi6UDw4Pq2ZbP7SI1VtXhBLp8XtlK4i9K
EgiC6rVaeBT7cVyz9X02BIm17IO17IPrdS0dfgy3NOZ1GzuVEzkHv/5SphP94TvRn5p3EBsqDjvE
62/TBTH+W3KrrJqvNqT+4MFvcqu9r6ukXW9//UGsqDcfRPaeyUxEAcjNe6sT1VXd4xO7JF9QuhIU
v++qpPSA+G0a/0WEhXcD6dkXGQoUv7LGLc6Pobovc7/5XbQRHf/bK/FxrINJCkUsiIM3zTmBVdqO
lyL4oiT99rXf6WIk2BSdXyjOU4nULfjNTX7zMuMOEHqhYctFhIW6Ifw0LumHpS7cmUe5zOVXsAjM
OmO8yz85EUPqtcXsjHDE8MsqTeRpY33SFJvQQAKFmufXj8BhSvXDN3+5DPh3eJkJngBy4jfkuMAh
D0GuYfU1gUg20XVk+jbAkh0WVBWMBxs3vcd+aKYDo4Nk32Ee8CEjtq47ge87j7+5GLNa/v3mvV6M
Jwgqs8EPqc0MhvLDPVkxCVJYbhVf09AOHpBuyXvEkBa23zq/EE49XU9VP553XlOfVYtwrsYmxFkT
wf9ym4dZxMJqZnWJK7T4xgnA7hT1efnwm6s0t+Tnq6SYZNcHJGCMBUXx56tUSIfruPemr3rGC+qd
CQZFUeHCQqO1UNfMkktkWnLFUTUa/PZbhsUsYyW8auajCFv53o+r9NIO5/KdC50r307QCw4UXBW3
Oy1CmqXaKn/zoP+2qPGLBM+CHenYkCDfvm6Wk1phW4XiczX1TIh3ve4wm9uoaE30/JvP+vkxemwg
HJQeodlssPA332b9uNj6lF3uu18WJ2WO89U1vqvZWdJN7HNp25slDU/blK6/fjR//5K8OYB9vDuR
zyH/5skAacuBlDL5GWH5FDF+gOql7hPXguT3m+/4JprLfMkY/038RnyXHQxd/c9vQdG2TjljbvxF
Vp6P0VgeJ827yh05E5nPpYgXbpZ4Tez6ss2ZCtp7X2Xl+r6QdIliAw4FhWeDy0wd3xUF6XbeNlPG
5KkkfyHSp2n2vHo4/fr+/O3BmABQhsIETWFo+Le2w4nLyF2QDH9uIJFyFYMVl8U3hbuE/9TCUmzF
jrzfdvxd2OebXGRuFloin1aOzc7Fg/btMZlYTIuZqlqfVt9y3HWLbIYEvW0YwYO1tw4DCuRpbMtl
+KzJbVpIEB6GIWb2Zi2uesT9fYYHl0W4DH3CtRBjUQEqqS/8GqletPvNXYreHgdcYIg5EMskNpaQ
b58tjqId06qh/cSEj1HQpoj0uN7KYBl4qVZtp1odY9nJ4NoSSc5qko3nUXw0xFpxOMeMWvRnXsC6
+Ib2gDtDueWVK1kWDhlN314PfAZQnGb+MqXBEwm7+IDDgAlL3lRVjcj4Ns0wBpR9DeZ3PJGMloaS
wJIZnSPzz6WK7vAIHpcPxP9Qsm5wlE64F26BA2K/sdc86IuD6/U+67vPEOLfQnYuCLCa6d+Qz4+J
XG9Z/rFPKA9I3vthbQuuEQFbjOWcA6P5qZRtVzT7KViq9f06ilA9qqEP1L0s+JuZeWfBDrLJMiZv
BAZgZ81H1yLLIZ8UorNY6EnE76AltYsiS+FCN0HjA2sVLj/J6ZPwI+Btssb/nKi/8W6cw5riSfdL
wZEvB+ZzmsFZzEdb+Rzz46uYzafRmHXBtYgxdvzQYwWrTomn+vyq8ppIH42EurnISI6dzqdlYuS6
RQtqdj5MyRx9gfY3ozizk9HUaH2UuKw2lD6jdJG8NV1Znr5/AZQHGV+VYVMcFDsbe1tuqG83vH5y
Sc0mViEMsup9L5OA/wMRxFcF//yyGP76HX3XWxAActJRsi2vHBMlpPOrzz2YmCXz0UuHzdm5ZsII
M/r1rmJWOHPnzJidH5jnMSvPm2qYyMNxsth8okCGXXzTXRJwWzoCYfh6bPTmdWkhzxbfRInDu9zj
81jU983oYwhzKIx7SLDpMPxjTakmjnlrUheJkmb8jAbpm4hClJKHMR3LSJxb6DVxd6sZmXXM2BRQ
KPZhmFUkD1GF50KxW8MJYf1ZEjQK0gX8DdMrFM4i+Dcd0J3wJYq4C5arXiSqgTtpDea5h65iF9gP
kCP5Mq2LXDBCAdZ7/CmNRC/UOcIuj99CCobHUpgKJje4EKVjyNk1ELXOJWm+PX85T4QrFDsvzsCI
tsx3WII6ohtvkRthoXLC8FdweUWdR6ZPwOq3zK8lVsoAu5PHH0CsdchlFR4zZVLoVM0dxCxy4nau
EbwtUAhaDu9UjAv880NqB+YVNa2ceuyihv/tqeBYwCFaNvzz5LpS1XpzzjrXg17N5pGVFP5FLwaz
pL3Y/FLYHTjNQcCjTzF8LkeoR1wWcBbeZ23YYT6uFmzm6ysYuQ6/sB+gxVZb7KIm81aLPB9gApfx
6vinJar8ZdgV9mMM+y9WOwf7FrMzZRW2Zge0Wwe/jFNEwmOpUw/6YLZiO58qwoZufa0XXv9IRm7g
7eN6rnRDoTC3AXE5vioHGNeGl0MUZyHym9bJchJX6A3NE26werCdA0GtEvQkl7ZxVAabGfEkWCop
rfmixAuLa0wsybPpCUZt/edGOuQ9bJukIFTqIa77xGuuW9nG+IgGdu7N1Z6NmO1mP4q00D1Y79TG
8WaiT1zUJoEMmKFMLSafMQNIk1cGn9fZtxBfsNlqvjO+rCVSCiYiS5all2WLFWkIbIRDHS9PXpgt
JRxn3XeHUifmvbSnRfIOJWTVl+lFC1eIf+sZkgzMhX3BVil7ktEwyiTJAM+/xbacqb+Wc4BHA7ai
/cRTahwkLtm+1dDog23c22YXnLj5vLm49iejOtgj3HRcGFAi8m/jgM3TBYkfkGPu4rEwHUjmTSnb
U+eRijJfjJnF7qC4i6wFxx0lL5TqYWy3Zzz9XvsXEcIK7xTB8+fC8Uqd+GjPQVLZHdguOY6U7lCd
4Jfhd6w87EnMIYsdFHxY3EdwTLA4lAfN/qAjXAogJ+uhS0ldqH3v1PVjw1eK2gEiKsxbU2LZFkTD
zzW1dnn1ve9l1zc3Z2570cbHcmBXJUQkK0jEOpsKNHS4XyEF3RGi1STwpqYEIWa/8OURYqJi2JN9
EnLFOKRY3CX4OiELuwCB4+WJcoBErCxfX+s6n82/aQ+6h7td88U0akFrGDZbaDEcWg6mktxjEQ54
9myoRFOb9WmlOSvXixI/dFDDOmF37eZsuzsZo/nAEmR1dPARk7RqeLDrBZm9C9mad2hAWnkeNJ0q
D0Grpu4zOGRvXQyodjwjOQ1hwTRQkT/CsUZLTfBMW33BNGYdcICFrvQ8Q9Web1YsduwNSeFjewEB
de5wc0Bl7nfbHuaQhPk0w0a5HnpQ2nYT1OjhL0XFsYpOYIRd0/OMBjb5JepX4iIaNXgLmRtQjSnp
12FGKwkFqnJjyJ+WHj/ErjN5DwFSXI8A7R4TWGsDN1cTxtTFfH+i7nSSjmdjxklWbcO1ojslZ6la
bdh8LhKLi4XFwaBpLK9m23a6A1EWqdhBIV3Wx7Rws5aDLxjDc6k1fA7hESez1Q47HOKcdJTxziJO
pNjaiLUgk/lVijePGHdkc83rRQLLwz46s5Mh5O4Wpxk3cPXWHBmS8K3brmxr7x2RUBCPMFmCC9Xv
49ZelkcGjWK8suTYWPdYzsr1/djwVm/8IQgGrDwV1gubagzCwQj8/XRdNrYKu2AHFlyVxyQfi4WO
24tqeINla7xK0HgYAqFTF1GDGU/XqmVXBqPuv8aFL0iLmkIsoxm0S38kNSdpeh8DSpjDVXBMaNyC
a1ieKJOOmG+YmfxX3GDEGDvbNsLCud05/qhXYiHFKPDTHVy+THH7vfq2ybAKnHs8b1tSYGYy+TiW
ulqQNfOOnPSu83ZdMg8J4VA2aHR50ir0qcYSvD+7w4Aahfcf5lVBBTUIuD0cKzEbCYu7j0z5CENd
sRwyLzA7XE1aCFtJbuHakBwg7pDxYr5YN0cXa59alKTYeyuOHj+rC06ZsfFTdz1q/JRGHHn81lR/
xHaYziEsnJWr1YwPqvg4YQATPEGja7gUp7NC/KOgmIFtdaTrsU1CDaSyjzAC6dyj5/pUwbNN7WZt
Y800xL8oIiIv5gtM0BM0zoLJNDNNh6w5cYo9t6Ikwv1IsKfAK7P5otQlEfim79eD2RDryuWMniMy
4mZ0AfhZmfgrEpSrbdTPC1c6pFnIZ0/hGrbwuDy/59/Q7SGnpjFrE9aS9FtI6EcZF2afLL0QyurW
LZyYK2qSTiIqi4fY1Ktxotht3HEagk/4kDVkgrjk6VymbaE4FseuM7VU04WmZMni0dyjsW2C0fk2
WVKX8W6uHIVqhvMQnGoTdojxVpwwBp/bzx6uTYn0Ai8GTDc4pb6fYJ7Tch/L1jYIWRDP5uodkVjc
yC7Fb7Y96rym6agmixvLNlOYK5ikhRvC6a87gUQCHGXqxEpFSgoQv7Gtx6Am8MtpNGYVFETmVcxR
WdKz1EviP1VM4cvz18fIgek4sD7saXyM+gRJywGdoMMzmqQKneG6YaYyZ7frXNhJ/EGRzVKUp6wL
0no+8yhH1SOjGVPFwtE0YOcwMO3PzjobsyuHg7LIKcFnF/LhuImCnpelBtQi7CSf7SEcd17pUqXg
tmuqeQV5bvBPNgosFd2uY4Yu4TKA28L16NUz6wCpos1XVSVF5iMSD7NEGAAbgLVBLSr3ifJMoeZA
LXvKe8e8YCKZ0NUfezesqLPT19M1Uyrl0JyIcmJBCdFRBQZiMPXmGJj3McF9jsoasSOtdrKGDX/g
781PG4HnejtXUchx6WRcl7vNstCUhmUwpaaYF5252tflgVyF51KRMsNDHfD/H+tLsQiVflRYcebD
idllSS5PjQMDr2muqQmKgzd45t2tGjdururZSXG7TSu4OdM5v6AWFLVzS1LwdrJUzWc168BXsDuV
G7CCwIKCyOSWli8N43x4VsOUCwQo5dSNbC44m4pLb3aIGSWDAG3Ft9p2TRNYdD4dG5wa80CkF1Ne
0njynEeN2vBCzC79UxDGelHHxRV9+awyBy+3LXFYpvKRqY0CD+F6NPBtc7gwFAbfO+IIuQeFwUKC
Nd0XZAfBn1J6FqL0LMtaPpNL1WPWhNGPjSqWILNop7IhlXiNB52YHoPV0LG21uxw/8mANk13GESm
ChsWxzT5YTyYQj7tWt6PRCYpT82wFinXcexY420+KL+hRokxbHnPXTc7Lkwbet6zPiR9UZr+gdcp
IGGIX4SI1GyVHXtycMIGZBmzfRMuvPonJ3IyWpUyoo56XXqNqkxpVVk1wrqN7tEg9btRKWlejGY2
+JGVCG1eSbDUubmxvYXJLjdkNR23H1sjN3J2iDgqT3TLaXcFkYNcthXEMj3CYlimu4BQWXkWTYtT
nVC00lNwsFke9QGRqYqtE1uHll8Te6hl4mPRN6YSdRuXXZwJ7UvXCD+zZJX2hYIpfUXBPwVbCXLl
Vvs4VaYLfG0sqmQ1F92uCx4uW1aZxo59jFY6Xk9FxOntaJJs3v4ZpQ6PNHcmc+lTs3AS7pmzJuO4
x/jaK6/CDnCEH1w1bxSCHbNhjTxGi8yCUuLqhi9ALlcmUZloymfRLqZDh+1hdg7yKkyhWzuleSt/
jRr9H5hRBCYYCwaIIUS/N3ggRGyEBXE1f1qS0fSZKrOqDKcGnP0r6Pd4cvNIf/2Rb+FOYKqI9tQz
cJ4bUTj9DEHC7m4iewzGT34wm2nh66tRkSzB0fVPPwo+BDWuMANKRqFvkFU3g3msQCc+5V5i9ic8
l4SiKGSzZu/69We9oIH/Bti90AE6Dh3BFB1x+9+noNJGLzhXpfi0iHqikZkyk4+39TG6ZxmSteZw
Fq5By6YxNZ4vAVFU1UfVththHF+DQphJWkzLa/ae1535+6ytGVLTIjShLzkTwqCf+dOvL/9vTwVH
OwjrDAaQezqubf79hyHGAhULKUfoP4/QMrgODijTFnK40kL9+qP+9s4JgGEiaAImj64XvcW7KaPQ
0lFAPcdZhDHAKdHYx7x31tAskSBJMSn8zZd7O7JzeDDG1xoDEhB2nLJ//nJDL0WUgt8/Q/Mwe9S4
sNhup5yd/T51ianTuySm3qeY0Pz5a+WG9nDDbkeU6a+/+9vbzJTeh7tjpvgst79NYeZmXBQ2QuIj
mASto0a5rT9HJLewA/76k97eZdfHY5fBPxKrkDH/W/C6pDCMhFM4HycILuUVKmdzQOWQLznkM9dU
jb/+wJ8NKxia4MUL7AypwGeiDHz0800eC7xAI6SsH8mKNHjyQAwI2xyboua5JkNfLc4my5F1xNuw
9DNOxl9fwAsZ+ccVSKlFDIwtSEwyhl7C/fkK6BKzyunC5iNGXChd9sxO1xLRUpPFyBZeyhaFHpQz
L/A8s39/B8UtwgpoL+pgJCDxbH69OXXhG4gH6F+ziluoUXQLaxVhdkAdQYax3EVitCJ4jljNsVuH
s28OS6WnFnO6LLFZ+AQEwdkodmOIUdZnZ8aPh7iEEohuH1HMu+NZDpUhQjhRWqa2kkqasssa3JAu
Rua9Oc6DLqe2CaUwR3zXDR2XFb4C9JLSnl2zLF1TNBXR+FLxuY4plpOCHBVQG0lmO/BYWgwgk65a
lAFZ8Gorz399+//2woWeCzUMnlnswpl8u9lOdBaZZa/6Q5v1gpo17UbTApF0aiqA75D1rz/SrNuf
HjhbLTNlZjQR3JPwrbsOgzI4xzKaP8T/y96ZLLltZOH6Xe4eHUjMWNwNQbI4VakmlVTaIGiVhXlM
zE9/v6TcbRfllm73usMRki25CALI4eR//iHClcXc9AlasFvbc41Mu9OlzjdA++v3HKImEaqiUMsL
9W1+/jWu79w0HUtn5VTBycy5a5Vh6TTlyLuMX7MK+POAr1xXfISCabQnQ3a/cBS6XkFQDtuuCVLk
mB79SvtqkDuQtvAtkfLL0NTp8kKqhRoWaVqryurn92VcTWk+3XMdev2OS+cN6t9VdRCNk57n5WB8
JN0Sq9gQ+LKLthEwKifdJB3ZHVYQLAp+cwFsGJeTbfovlMI2iRg1sC4QDEcexRepR0zSwBGgOVNh
JxEnFBKlmBVxlcYK1po0BQN4nQPLcD94joKJEYDzfysPMW5Oy2z2oijSVKdIDIVarzkQZFOz13Bh
njFWqvTIuv35Q7h63jwDMkFMnXlKAtqPHVPbjjq/cDB97YtU7cxhRasCX9kRW8qXn1/KvBrP6p2y
eJGJ5jtsi0hX3y9gY1WDqQorfPYsbO+4Vm8DnSp2ntqaWOpZgr5zPXJIYTyFErtsBvcf/9UOvUII
tFHn4dqWq/BMzoI1K51RyBBEQcvSXltOkqlKRDmKq2y8mU3sO8hqKUOOx8nCojZs/2j80S1STSQt
Tw3mzuLpC383VIV64YudchXt0h13v0MTgwAB7daaHas3mQqqFmSwAwt/te5a3K84GX1voTEjGbsp
PQ/2vTAE5cB4RyAiqH6x33rvX5/iq9DJ1w0IcgRFKjey94+04Q4GT6/Dr/lgup/TtrQNHJwNe+dk
Xm2B8cdI7azJP85eQgJBbZGyVhhZ/oJnhk5WE0mkNE1RgvnarBK+4q75GHJ+lff5JHF/xubH2CV+
+lDQavs61Jas4bVr8RzQy3E+DHZYHWOEhLfsSDGxFUU8ZGsNt4NPC33k4UCMRWpjMISscQ1qmL0Q
Q9lxOCCGawyk395b7ErZ1so1Ujnmdlh39dxs6InnLzh7WAfEfnQJ0roDzquykRZeh8M7rAkSZqcI
g51+aXSxNuvWfTbYn891XAmi4VsnBsKIpLwx0rJ8Hl2zf0lMjLFXnq7hJqqB271mvS/fUOm0T+Sw
S8oioirRmqVb2gRzHZT0iyY0MH6irXqrGA45vufdiN3ZiqTM9FPvOWg6vZBsrA5B2/OS9kBiltBi
0D7NCmA6P+CLrP+GLlZ+ITsIfm9vI42YHFzwXZlgRAuF5ueT7P1izYCgrcxiZlMqWAaFwtWAqIB/
3MaOyjfeFznVRkjehZNXHXziVnc+/vxi7yf094shP4cAiEAestLVYh0uFqVd65dvju4WcNIm/Vlg
Sy1XRZHdDhZCyGCKquKBFqGb/aIe+2HkX24TbhgtGxbxa95hbxM1kFlt8daUKBjQOdfZtC3gI/1q
+7t80p/b8OUuiZ+BeIATABvy9SFyMorMGODKvCEEZc6YhgpDrjjwJOspzt3H0ijCx0SGGgFque2j
exrqJL+Bz+ysp7yDZgg51PnQ4pR3KLXG/ch+i9UouGIHsZzixejKol4ZnbAe9CEtsZQ1vVMJPPsw
GLPxyUehg6VLhSNOQDL3B7PwGceaWzigNxm9ODH6AGutP7+lVdTRSujbrUArdNanzgwW3t8vaqEf
eXKqDKAM4rmY7NHXJYHQXDlZ3ry84VTPw48TM74xqzTfTct0LoWfv5oof9a9EdH0aFrN2VnlbJfr
nw8/Ww3md2/GVeRgxQcREBWRl71f/WBoFbQPYvctwuI5A05rMyQytusj0c8XLIKsYtq5RYcYB81N
QbenKnbYt/q3Q+1gN5e7kfZhEZG1I7IC4KwN/S9FAp4etJl2m8yle5rN+aY0C/MZDDT/UGm8tJVD
Y2wOlm6i7ZJWMgzc2ncfKRsJnR6t5NvspMmdiTHbTQZSvEuiqv5Q2B0JOFUo+9/mPO4/QrbLHrTS
Y4NwUBhvTaMbUeu3qJNGUjZTZN6YoOJcigxq6CJaAG7apDRC2BOfLFvzTkk8W58EqHa4oumA3unn
D/c9LYlRz7O1QBewqeA06xpq/v3lxExQNe013Q3fmsSy77TGTF/qxJxh3zeljuOvClv/+RX/jvZI
bcARh+gmKJ/XtEehGzlGuXX6O9b41gHYjEihsJ+1I0BluqUR0bHS21H7Vpt6/pJEU3fCm1R/0Abf
3P78uzg/Di1KTZZPNKMuzO9r8mk7Frb0Ikif0USDgXM7We9Vu+Cd3xSzjeTQyEA4igoL+c4GK1yn
sUM4BPTrNTiJ7wc0PBF8t5XjotjLBwX9AqGXmoxvMwcLncY0pzunj6N9hO7BWlW4NY4rOZMwqBQZ
RY9Tv1cFXrHgWq3xWLZp1mm3RNYqycboaqcLLRT3PLaz1E5qvLnZvYMKa/pTQZuXitIs0FrmTY4y
DH9serg0PV9snJI31CLyqTOmch8XudmuUGVjPO9MtIsCB9Tv3vQTXP9dGHUI6UhX2HYOHo0YFrj1
7ViTmbGqktqBx41sX+whp4ztje5ExqeurZLPfTl2GOkYCVDPQJ7D95HyP+XV81z//n//z/mtSMp1
Iikav3bvhFQ2oOJfBvIPUeWfzjJOYPK8d7XBG0b92D/VFoJ0cYA8x7E9n2whJbL6p/4KVxtOARjd
XFxr/im9UiFFBpRwygqQA1sJJP5QYFn2P2xS20wfmxvWC8Fl/gOlxfvaBRkH5wK4u5yyOWcaP9Ce
FaWDtlvvPBQDIougTEDEYY92ePePjfzylwdz/32X+KtK4H3tcrkY+7mP4Ny3HG73qnaJ7MmCANtZ
D7E216+lVRnPczf4L1nSYXziYKH3GumudfYHGGP/xaU5bqKBY8/64RwEj19MXcVuT1Yzl/ZhfF7o
FdPG7R1yUL0J6TL+K4YZSHLVkl+ss+9XdnXnrOYcGSD3g4zTx3u/shsmpAof3+KHnMZ4QuzcwLKh
4/ldH5JKXW4qiFz8+S0b7yntf1yUoWIJtZy616ViWZdhH9W+8WDTrXguWf/3RuEszZYdwX9R9f3J
SkxV0IseyyIULt2bU4Nl5ZrDc2g4Nt/UbpROO6m1OJUty2KdqVIwqgxtmrnHoQ5nsU6WCiMMWQvW
3ikvTfMXVec1ZKCenYM5AZiMqj+va0GP1nU/ubHxIOjcvmR9bu2nnDM6suhJPNNsUZwMW779/Old
AbyXN+agS8BZjInB7+/fmKPpqNTtVjykYhDPpbaQGkpX6pueTs0DnjDTo23V4o7ChzPYHPf/mZf0
5eUBybCI41jFuLmeK4Pvl3hETeLB0ZzpEWZC/Tr7/XQfDY34Bf5zVQT8cS2EFOAyXBBV8Pt7DWcX
PpPeiwcr8adHrQbL20IOVVEtpinfMHhCeq47anbqRRHU7shk0VIX2SXh3r943T+uSIDLOnFpdGlh
6V+PWsPSKkhiof7Qdw2TxCIxpjoZhL8PuJRn/n8xSRCdqHnJPxysrmouSL56opmD8dBK2nQlrOsl
ICa3OvauDtLUptbeHGR1xMaOUe7ni7gr8OTFlT4VKNJFulRHzRmmx6ixp4gEGcM7ddngb0TnTPdx
PDQjn5oyy2yPNt7Bxxso/0XldN0oUoMVSALdnWCrQGp6dQJFChf23uyLh5Bg92a7uG27u4ybqSvq
1xb9ToBvEOse/IpT4Y3Q0JIlTwI5+80Oli72MgnuYDkWhUvektakyzevJRXj53Pqb1ZB+PtAjGj6
kIpdIydQ2PvBCS3xYC+E2a0uj1mAPr8KPRTPDUSKX4xs43owoYFgVLPnQomDiXt9RRpQRqpns3yA
QFwd7a6wz/Ba1C8mdke9TopnazqS5LQkpGvOUTDGrRGWzFPSq6hsE4HAmwnz6T6FSH6j02N6xd2U
hVONicsjwuCIzYuMY/8ExaM6zoKTpKYl1t5wFU8S8P4XeMP3qvzPQxgNLu6E90wPCoCchvzVoF3w
Z8XAYI4e8IfCdbaeF6iurpZ+IGx97nblEA8jNlID4aeGjdUVAdRFGOMLQvgcZqvIu4N5qpE1pwZ5
q0XnboeL7xUJAbhQlgLzWjrrdrjgmbT4hFXEo/ax1sBHiSCrID2OFystgLJYrnEyY2akymeLLUBZ
bqV5tbJwx3jolRmXJwuslAuvuqMsdZs1tEmdRD0ETZ/F7GYfRDXnX/VMijWeJG0MN3FZIKROQ/w2
29XsHDrI8uukY/8+gMmRvMHBqL7HkxifsOniGWYp+zAb4RNMFtfV6hccrdNxbYaui1k2vZtVk+LQ
B1N6aPBD4jwDo8jx5zZwOsP7jc5V65EEJjtoAkgrcHHBMbLdG82caPsQOORkRD1pI/UQHsDs/ad5
xJk0cPFVaR/wbhEWRhrqDNsQsRYHBV3i+t6NirwNJuzPwzXtSP8linu23Ywx4s60c+Fnzv4G+A4T
XUoD2j2iW/h2lW2fJXYZSVB6rDaUgCzEHJ6nR5nM/NjsQqYD2YPY5AHBEuYtMEQ7eZmbkeIYihhj
EoxALzZu5sXTjdiT5gQXFKe36LvtW63yVCxg/7sh8zvahTDXVpER6zeY4rZr3ywUI4/whNZPVqj0
61fIjstnoSJcDBXmAths/Ib3XEXWfSNvOEiFWyTr1RcCr9HQmGTXNZdgGBURE/UqLWZRwTE63Ap4
X2FX3rRRba8LQboMA6vQyUQhIJPgGagr88ojjMZqdAf4P4nqZ+0SVjNANia5BhNinxgbcmB1nwGQ
z5W7LtzCQysGr9MlCW8FBA8jGnqsMRqQSXEo1ATo9IyOs8DdWPj1Zy0esPsoEP6UxBY1c+FtNV0V
P4s9PVZZxpMmJLE66hFNP1Z7zTo3uG/h0pdDy0NzG+YfJ03yxuawY1OYQb2DwfWVjVrFWpFAxpVI
dYTCWrHsQH0PvfbVbyVvlmgdXmqSwpjS9RaOMOTTmnRuyavPBpbsxIoeetdbumCZHesc2uMIpKUT
7N3lHqtRMdrnKVz8F/hD8k0usbV3lBcbfG//5FoFZght3MhVwwwlGwkpSg2BxubLceKAa4sw64Ve
tbfO5qI6EsdrPDe6rf6nKvdPXTewPrOcheEqt/wiWgvR8SfQRrkn3P3FnaHr/MHiQuPfetDMz6rB
yME8x74VirlI73AeZ4nxaaCfoqbwTz7KgUdURGzqicaKelkjqeG8U2iziYK1tLuQJuhb46tH6beW
eJay518v37bo+yhdIYqY7ivKTgMOeTKT46JqkSx3rPZDWWT0CKNB3GEtKe4Gi8pwNkbxPIjF3xhG
Oj/2CccNk+bDM6kHbM/dVI/rWVWP+P/YZ1HM3BRTkitl8SDfYOZPj6n6t6Gda5KaUqpPPRvsM40o
fwM+K9/qnN228aPmNc0Kql+YAPPjpVBAqFzOhynNnbMxUd/jVsOrbfgyk+Glb5aZuzwLyqF91Wj6
nR4zpXGJIZ4QEUp1Yhjx7gz1bcuqYeORVbuTId9IT3WK8KqCT26LrH7FZZzdfEYq0W5C2k5nRy6A
stDVaH80suWbD/wMbFm8HKYTGpwStwlV4PSqVMmWtHv7fvgxVekzp5j0rXN7tvLA0rIGG8vawaJu
tGfvBIPBOscuGsMbth2+YG1MBBp4kMTTDY5x4W+5hkZrVV6mkAhtiMUD+gfKIHYePBPHB88aaQL4
kndUhx7FHf/pR4q2BouFtQ07Iqw/8Li4EbOgMMA9ZO/wpu9Ksmj23E51NAeyJOFZzfNKi3O+Lc5N
ShvEjtup4WmXubjTI7iwZKcp5X46UK5aEA7723qMtHhXxCFnQOFgBrXqY5pUG+xT+DIhXpSrzsp4
Zp3w/JdpSNznNPOafNM1enIDX4Axkse5fY6LkWc61QX3f1kEstycHucEz8wgzxI8KzEU2zc+M6x2
1OWLsfOCVM16cLX6NRVVdYQr0u4o95tdE5q81cSgx5azkfMcRt6QXybhC92f6X5C1HBuPajymZ4X
xcZIFs1ZRzYzvm1R3NLzYSRaAEryOCYsAbagRt+INmfxsaImkvf+RDzN3qvUC0obXNW3RhU2u6IV
/kvSLRNmgBxHJaQiGjErw+upgQy4Z0+zntpnnJfEs6F5nAH8lGOINXnieTShEoPQE8BAYkCKHcGc
+PWrQ7O+CRox0hFRd8hORI0sHVYgVBOYuKgDL1FD9StECaZoxBEVe6cMNQBH2ue+4Q/B53gt+HRN
9wukMrj8anRets15wXONIEgNM0ov5t6B7PxTaXjaKu2NYt32PScZ9dTaepj8dTqKfFm36uvEDneR
0Y881z1RHUiCIv+UZyXTapnNcO2ai7ntZS48pEgRy1GSMbkMC5vuVSxb2yRh3gDeLrFzeUT545ib
EQ/T3ZzYebGx/T63H6d2LFtS0xA7Qr3Q7bM1qZWF/9t/oWXDsZWIt33WVBqBjL435gcC2vhpIv6M
5glUdmSIhBkPGns4cYcfhVr7JiPVcOAWStRTY4rDkdzqOK/EBWPi8gC+r0Xq4E4CEuuCWljbyGXH
uYxdggbY1kh6R2fnJvNvLdvQw2V8WkYf3qQAATdDiSziFiUbQwQeMwPKzoYDbXX6798HRDEW3rca
5dkQFO3Q7jQUG+RN1fY5csBSLqPCQb2+rDIjFHeOVTKRG4IwkA3wEDKpJVXglKVA5GWXrETzkiG3
aQxACFjeybJK1A1pY8HoS1o7D1pr5O9mCqF2zXov7oTFLTDkxLON5HJcC+JJvcClSfBoIKcwt4iM
pvs+rVjtsc36YOOnQ3DBwqDWEd72Ad1DONlqBbSyLivoErg87C7U1PbdpTwl0x2ZNmoDwnEgMmd8
XoeORYFsepJGGs3zWa569W3TvmOamc3MdaN6nh4R47ZKWAhxwZ9mCj/70jadaRvD3SYja411D9Sl
lloIwr3wkmnX9UMZfxCSiJh9qYw3Wx1aDYdGPN7Z+StGuy7CpX3u7J4iJNIy/0UnIuGmJNOE+3X9
8d7qDfep96biA97VX2Mt1ILMT+XORqu2crHrP45ZlH6LTFmtXKPBxdbhSB0MlckEntgeU1yWCc5I
Roy/gDx9KpTZeSG+huec0F/HqnRcphuN5uIWr/p5IB6uQp1FpsM+qev0Fs0O3mfsmji9m8a0K0Vd
zkFe1+VtWJnVN3/KqRccY2IxpMjE7VcauEBPk+z0Q6MW/0MaRgCRtNuoqXqLrA8jL/M9ohlQGJCi
PmjycNSekNrwetqi5tfGFzwk016mexBAWsXmyILTqsW/GahxwPOnxwbV9GMWdVR4UwNRXVlHXQ7K
Wc4oGNHPqquq1o7e8vVgqAM2GRX1AZ5RfNPpspmEMev2gj4s+72ixmR38WtM2tQeLjTiJIgvYQRd
DoaRHpU13fQU3VhLw+K5gmocHsHT2p0bV/4p8SNrD7Av7qLJ9lFodfIN535v7RBYqQJEeK/Kc3LC
E4HNrS8iVqvFSYzngSsHl3UTlT+LI3RVc3NxxDJyVW/Woe+dCiJHijXexKzR5J68ZsR8r9C0U6o1
TKEuZ/AkoZYdtMreOpFamZcF7/2As128M+w4+d0aHF0ekcgx4zqNODs7a/yT9r3CaKgeNHbmIkNp
tHdd3B32HNimbic53+Dv3bc32NQQZ0pL0+Os0tlnPcMsA/MfIDviiJIAnIdH4uLWC9YUGpwkCoeN
xRlm5zkGsV4vjWvucRZkPiyRWg4uJbOtF99ofEwrULJC30ZZ4XobZ+6MLVeOn+MWcs0UOyrkdU4+
1n2Uremi+KzOnHaWLRti70J0h6KPTKfW7umW4phMOY17stma086IbO2rYqq+pX6//J5TVX7DTExS
bo85CZLObBxFLXUyjLBizpUpM3wn/Jn7i1dz0yCe2DTV1Bxsc0rukEJDAU+d5BM+e9ETQqFhCvoi
p7OHmudm9uz5zjfr8GOMPuhr1cx8kn0xi04uxtELUiZ48Ho0isCFkUc8jT84rxd05n8dnl90eED/
lEntv7fS2pdvybk8/7Ur9MfP/NHe8Wjh+Mox52J8BVT9r+6O5/0DzN/H2c6ExKiA5H+ZaRFM4ILb
ERGiWPLQKQBx/jTZc1WThB8DlTTgP/4nLR6iAcFv/4SL4MVTQfEtgLPJM6C/fIXv9gYdrAUV7D40
F2wkmzw/22mIj2yf6AZFzYKv6GqW84JoQQM5yiJDnBz45bcLcN0UYMmJ4FJPhje3FwWOtVP5xccs
HsgAOQoHxV4r1lMVdtuiXMovhY1FOA0n40ObjE63SofWxH0195YAw1iEDNJHIpg43pPbZvljO/XD
B304F1WLsFrG2Us36O1rlSX4ci1DXi709OvpLPOumDDD1uaFNisSp/Xkk6KJgYMbZZvaabLfYg2b
Tjr6BdXSbLSoOdE7YCLYTHIVwtq8BY0IKe50aDRruzU8a5NXHlrVFitegb1Fat40lAnxaorD+GQC
obEgzG5CjlGZOzgGa1n1tZZ1/Vp1+nJHHp0e9GYuj5Evx6+kWpevVkcdGAxehIx3zOgV1Gl0NmLD
YO0iXqbA0RZH0jpwehIApsQbkVJP1b2Netlfjd7UtCuk0i67VJLdeSYaaLJmlq2KX5plxTo79tGq
ycAaSsJ5HAuLByNx70UjfVy5zeLrROnKdl549/hNkcDbpd0T5Yuk+ymRUI2zuUOGInLgDdKp7Y6s
snRe+qMHkzjcL1I0hwEtPDzfyAb7S+wGcEkvjDJAQpu/oMHsn3oLETzl4kjMXDaIz4mbhZ87jSjo
erSbTVn62mlccFSE/+ygd5mtYASuOC2R6D9hsFA3ge0XLXEBbXOMPW/4BqcJBW8E5ZO1OidNe7DK
fFM3PmLkcvSJhcaqcrjNtakVYHd9dm5w799EcmrsmwhlX7Ey0lF+SdM8z4MxbLBcRdQW3ZeeX4od
0yV5jOvM/GRERfLgLzZXg/7YPonaQJTQxNZRGEgUVzERCzvN7CIC36t6bXRDsxs53DxGtO0Dp0in
V62M2oOpF/7vYzu6LW4CRM4jNhy9ZIPmy3/E13mBa9ehiCPLzHTuY4tCazV4yBGJ5ViyrxaCKsT7
pHdsIn0p1r5N+EBTiPKZ95h9HIWM790plbdSzPHBBbjkrFqNzQk/OWutOXNUrBmu1bNnNvoHYgMr
udYa/p5UEOu2Gay+wjShqO9SokETJLQFs/zzhGWMBQKMy4qKrQOF0OuDPyQ6v1XAvnBCidKYU+dR
GQ/o+Ym20IQG2ZAoVnfF2I+rcFj08BH805wP5DmmOwyD74WXZhAd3SWg2gahRGn3NOXMno2c+vyV
GJR5JXKUoWu3t3wZZLVBcBRK1qcedh6gUyK6oEMhREJRot9ZdTGdOtuJb/AExySlknmQYdOwQVya
bWgHMhSZL4+hnHSXWKYBJC4czeLk9J2e3rtIMXJ/bdX48z1ZiyRzBCoPdit3hmi03di3LxaSmAfM
eX0iI1tz3JvtcOAI6tySpdXeFF1mrHOMXW7qvpgfmsozEOznzary7GjvzTJ/GFuzfczHdAqsLE22
IRkqG7fmRUL4XRUhXDPcne8UMNAXHU4KHckU6YHIZD7J1BrEtiHS7cR4JYPExhWEOLcUSAsV+Aod
nORjtDGY8NN/iZFX7EPZVoHgsSC08+SHRLde/b6O1uMCboywR7tNFxGSy85qPff6p1J0NYbOIS95
fmvlcOwWnmHY6UeUMt0cwPbUt7qMP04mDY88rV48d3b3hVd/xYgn30yJ8ajPrb8Ou/wlMtsPzpim
911TfibqmKDs+cjxUd/iTv00KBlkMbmI4fS5WOljNqyNEpXsqp9qj0pXqLiVEpBlkI0LCuzcNomQ
h9aUx45if0sCyXADkctaCznD8IFjqa9dP4sPnFythNurl1fipOUtOY7W1hnFymAYHR3eNkmiZBHo
Wl8+EsNT3eC6rN1YM7BpR9zyHd4Aacj4AZrAGKd+aObZfyR0mehn+IH5Q6ZN4wfHb99cIjsOWRKJ
44Kl2UaTBCkHquxUy2wDJ8pj+D0j4YnWkEFxZZpsY7NgGbeOnGi+y7EcWs2DQGmfRT3ez5a8M/zk
wW61hilBS6BFtXhXtFnBkSUvnoY8DGnLh9bK6qnm7EqfyYobjvhUEiFmoCvKp/AcS715MGi33huT
Px2TVpqPTuKXT0hfOayazkG6RRlAn2Xl1/RPOKcQpaLxS5xOJP05fFMjc7+O0yAfPc0n5rCf5q05
L/62J/7xm4NrNDGvG9kv/WnsACRXbS+tO9YY7ZR2iUsnJC6aR85l+Zr2d3bEt80MbCzcbtAQxl+t
PGdu+ZXEwyrrHxmEOXl0en6PrziR2KXjbhJnkcDH+r1LJOq6M9J2XyymeZ/jmLbW+rn+YI/iiz20
JAQKLXsCkeec0bnQmvC62crRyAinoCwAXKYJHQh8XLZzYpC2idUbkvo2OWqD46PAHuddyVl673Rs
kZidOHsthxmx/l+d/P/jOGs6l0bjv6+TPyXya4WNwbt4rz9+6p+VsvOPC50CE2qEIKoi/lep7Bv/
4OCHzaZvIUNxiU7+s1TGdBpzRlXHeophjbnsP0tly/gHQAGWU9Ck8FryqaL/AzbUdYPaRwgDp9+w
oAMbP/rCQeCJsx5E6TsoC914urcFPtMEDIIOdC0tgr8cJP6GEfV3F4TdAh9K9aedi1/cXxifWCEY
tVEX9tHExm9NWDziacXycHKv2UUzCPnPr3fdD1c3CLuU5wUNiWPPFVFA1SWUia51ZMFzzqmC4C+g
rrTJFPj5pa7JXlyKV82JB+IOisHrnI82HuOoz4R1JD/XPiculC5EcRzhCXUCfVjoXblZyrleNTR+
fum/uUtGElQ7/M6hm10LFccmw4JJa62jNKBvlF6t6Cp2CRDEHl/8gq8irmlW3KiS6XJOQzGGEPmq
GT+hSi/cKbGO+ENxIbcGuVvh7wBoPHQuqEpJuzo+FIBcXjC3NJPACirg/SlPaP8Z5a84LT/evqMz
mFAMI1FFQnd13COfgH4QpcDRg6cKVI+fP8yFjF/+u2tReENQZAgzcK4GFMItPcdx3SLoaaTvZmny
zeWY9siWVH/HJ/6t7bF6jn+eYqHo+A78FtRTNjaK+FtyZv8rOzoBtQamYeMnGeabNMhGAOj/T9lH
l4tAhLz8zip19TIhgFhuZ+TWccHyD+uVAdAfrwQtwNMF7Prn4/SK0//9lkzIzvDbFMfzmnjlkRQx
LEjRjim0XWpHRSoRKMmdVd7K+hXXNjoHzswkVcSsOe7MfTRwuP7F1/hxBDu6xbKHaQn/8gM+EBoC
yzmMEY6T1xkHkwQ3ct8VhFhrkhFKg6DYIAgF0+acCOPvMnltxRRkBfkVU/PvRq9lofnw1ZsGBnn/
mrPcd6Yiq5m8A/2VC547kvh6BPH/lU3q313KQfQI04yt5Qc+KuUprSi3MY+JzeP1/YgpSxQjS73n
8CZ+/pTfL/Us3+gmfN31LXYWGFrXwxf3iyrnUKodQnppIBhaCx8LCc3rwqH/fihnVoefX1G8X4LV
JV1AKWKWcHLmBV+zTutsQccjXP+gh3TcLOz+4Gm2El9+UtaUfIb3ekHNY48eMzl6sAZg2RxdrQT2
JtSv2S0qZuGygnxvic4LXcdVGGskhiWqffnzr0yF9m6Ww4x2UDUpsifUZxOn1KvXT+5Aak2FaR1k
rhf4AMfLtkocbRsJrFZweyrQoAWA6m0VBgQezc5G8GEPLU3IYgMiQIcmLEJeZIjMkrjponubyBN2
Vt+7P0qlHq9BUDkS2IJ2yEpE9MsvzYHcgYGgp/wYsi1z7+Kq0a5lapj70Uib106xu7zIMg9tygNc
zfRF7qMkp+cOvdt/waNcQ0Pih43YCWnz0dKN23GNdMhBKNNi8bmKMI0hSa9suIZq5F70BE3j6frK
GixkCDRcxZ1EwIou2xJwPiu3W240oGnnMCoOG6BCAV+lFWV8yJAavsG2al5xWjHqA/Ko+ZHjI9wK
o9Poidagc18EZvUYuSymo/Jx6aO+NDmEnrLLnDOCcUa7lRr2eSZr+E2KWu3QAwSHAjrB1xq35t3Q
uM1j63TFjY0aM3CTyCJfS/oDyaYERBbBpUuPhpZJqmgOVkg7z5ys6TGHVvcyW2QfX4ikF4rlpZPT
LQbPxx9D91HKaHkxBigYta/aZpfwD0H81FtWRKBm+IORsS5DYQYeJ9KXHlmyAzttNvc4DfMphWpP
LR3PzeoVLeKyy5Xs1NtaOjkq0CJu0x2KzI7WtOuqhk4MbLYqynlxD7EqTC5c1gtJRU8NukSwzqZN
rmu01y9EAszuGDUZatCz62Q8zRl1NDa1lUe4+aCHrnO4tFw0+sDyRmK/mt9gMMyXQZybFRus9OSb
U+GEwgiOADKKxRN3sQZBbD3bBa1LiC90+NzZYr/pMpoI+M6ajGVcRv0XqYd8rNf13nrS6GvWwmMv
6shFmrYzXpgGMJtNH6w2o+UWD/MlCkQC1XHAYvrswDqD2l62fr62Z9E+ReZi7JZlBPczcEn8Ug5D
+ewtyXybNyA0jZwqoFBOTt5WJHp7SPKKsJNcUW5kPk143ixVv9YxeaWLvSTjCgE74BZOVvOdh6X5
sbDiqiYCBEVOYksIMdCDgrlc5ucM5f0GfK2uD5k+J1RGToaPrS7LB1qrHt5lYV/QWGu7b561VHuc
Ufo7jrEAPvOUkp7SZ6xMwaLYD6POyW/VQYz+jENPK7fSnp2vJJuItezK8gQlsI22ivA8rsBKkjXh
SeXNUPXVnY9Pz0hwuYy/RIqp5lZdfYuvu3MDXyc8EgTqNjceNpavNZ3oLXFSyxeiYaqDaRURZp6j
tXwp8ybb2DYezlIMvEYsFAdAqrH8gpIKIy44mHKd6a17o4pRuXIBc4y1ouJuGmrA1UDxsi08AzOe
GPAAnXn42NMa30P7rvdpG8vtbPfz72FUjZtYS7SH2a+Kz0k2EEY5g8mRoZrB4QBpcrP27HJ4DzwI
IWsMfOOgH1qxLeqKD/I0eBoQ+9BzhlW1ylozFmvHhafVBXTz0GCuWkjwEaCGhA11otL1dugQZ3uN
lem4ssKQC1m5H64x4Ywhj9QS+oqM10s1axujqPqPdeY0NUiJ3PY2ZhNlrH/NXVl99vME2NsX01Zi
1LQmt1vHIK4rHtiVFqzgWd5PjtWMqzrSeaMubN0TfbryHmlEfY8MhUGtEevcnS/0Gs1ImRJSUaA2
VQ2UcCQ0gQLbwKmpCVhtu7eo1VmQqsUXz7NOyDnIG4yv1u3hZnv9hHUeRk0TxIOq0eFaQllbAiiy
1WsoIJZdOsP4RbY7jBrZj73eDuH6GFZ1rNpcfZqYannzXa/CakxhpsKHNFzf7iQ+G8XaGWhwKs02
+UKx3cDGsdBPXEhadc2wDSp3gF9EqkROSnyDEm2IQVWFWRkVcz6WdfHFTmOv/jbXg6UoeF24yfGx
2ZSpNf4Od7uJAjvT7E9k5fr7NvblDhc2kqD/H3tnsh03km3ZX6kfQCzA0A/L4R2dpLMVRWmCRVEi
+s7QmAFfXxuMiJchRr5Q5TxzxFSQdDocMLt27zn71DrJxk1p5em3fhpecuQHOxdOXhLFM8vHc7kY
o/GQLTSej6TMB+eJqXLklbA0U6W6Y27A6ZyBkXxC8Vv5m9B31KfJldU9Up43US7PWjjWTTEIBrxE
GcP/C+W4c8ZWfE+GNPm+ZJl6SEafT44nPt916BdCJDs+Q4IJZOe86crePwFX7YGHqbIlt8VjHY8K
ooHVkTxb89KB3Hzd9QN9roXwjY0k2dDaeHwKRIzST3gy6knXO20N5bWW0rlZ0LHfdJYz3oMz7iLZ
WP2rMxnlrhkW+1sTerQ+vXahoxQLJhF9YGdRkaIyVuOi6NR2JctFGLvbvAqcE23tbzFpLw9qSAr8
JqN5jTvU/Voor0giWcKZccD5IREk5PAcMly+lvApTgapFR4yiKR/EZlqLyuftmydkaFnQRqGGDL0
lTxYLHl7g2KWVFhLiHgDQ8rX+xTPzKNXtO1xqu3loc3S+Mqcx+VuSEmXDqdEfcEB2407s++d7KQz
rd0oaNCiY4RXQXH2NEKQQ5iO/XHtf17l/tJ8InhJhJFRjFW9EYZvQhHj5jkrdvg3a+r667FtIc6x
EV7WeV+V2zZMY9QtQE0uUha3Q+GQ5IT0skWUmEz+dJeISYE3zmO35b4s5ZdCD3Di5tK9ol3MMmqb
0CWjrp1qBR1CjsTW1Y24Hvx5cTc4DaxgF5S+w4JoqR+N8MZ4HxrdgmYGHYTjdGJnl95y7Ec/u+8r
q/s0WnP/RBSIs5s04WBLrlEPgRfZOASGWxu95D4YAuVnEcqY9DtCdvahwZynKCa0stw6XKrbaeGc
QhigLyO3ibMbfBT6kymVce1moJQ3md3Z+8CwpU++Ze3uu953VdSILOzp0qvljfBl/bkN7OFVubH/
nYmml+1NBJF9xKSNWV9OnoSE746+hXzdLtvKFNX/0R/aNzfVyS3IaizHdIuHk600wexNU3fbVGfd
DJ1WyoiwcXljME3YCdOLh20IYvCULLMG0gr5GpLd6AzBZTGaqB0df3pO0XUiP0+W/Ab9BC7SmGjC
mzoscUrXxKVjsLP51EoaSA6xYarU45NOO02/+b1e/69m4FeaATwSfznZ/M0USvrWt5fqZ8nA+4/8
2Qd1flt7lcz9LepxWD8cg/4whCIZcOgI0FGCLo5zb20K/OEKtV1coT6WMnxajsdBiUH/n5IB8zdB
25JelIfJ1LTD/8gV+nOrxV2TguHB8lcAHBCUSH/rILXC6W3HOIZANQiQYz58HElaevzLNfk33c+f
z9+/v8x62sODCknvb32HxerlPC2TcewXtN5FUzEEGc3gpmKg9auAn4/nSt5SCLCJmEGMMx7dlp/b
CnwWOScWOz7OVhPeINWZrhmP2ydngdnRetUvrfW4Oj8cZVeqEt5wAnLWzrVvrm2XvzR3wTC6neXL
+Jgxh8LdgFTuqpHwTDf41BvWcHaNJxp5ttibYzIBkeZcOx/QM4r6AFBkjNxpchRzNASU7SoBA5NP
4T+H0vxW60xedWEfHro4CQ9q4YRPcpGAIK/rE+fD6q6kl4KXUw6f8KLVzHkl9PO4ImJwHrIzKejQ
IeykTsmYMNHvJf2869io7siwX2A8wz1NoX08+W1ybY4zo22/rKOxLc3jIuzimkaHF0Rpbo93oh+r
t8Vemhsom/kngYmEgOa43JNBXK9nkQkwbK2OZhNTZi7AY4OJvU3C1N9ZqW4hUzMNxP/SnGUL/2wA
evhilolxLD3VbRdpqGNHeA7JxzqMPfyzonkliJeJ77JC4pslHTcIggOUdoHDYFPIL1nBrsx4N5U+
YER/VkDLvoTMJeb+Kq1bUogBqdQoBbjPI5ZZE5SIXdXfyEhDmT0mweecSdR9mJhhymizD7/nQd/m
GyuUPqmvYiZXzsgzxHnIOrFVBHb6rUjLwI2y2ilvTCKQEXk4SXPlj2q8nPHnP4HvYJIdZ3IrRMm9
l5NdsHGy3L3JbOueHcGM4lWHmXaht+uB7X6pfPJ/G20O+2Dy2GM18PTvco2ITOv0dZZEPic0uNCf
BMzRrcVNkddwcVJk7dcdlu7Pji2MO7vOlitzieENYZotCNOaTGNbAGc3N0ZjPDhe5l7EjgnIT9VQ
gWeABnRCxu8otodvhbVKLZZk8eqdMWThiUvQw6PzXrsBrYWl4BoT27bRfvndtFEZrr3E2Bg0GLnk
U4jel5u0LQ9GG7APGpWOeq1q9ljHjMKYssxvh8uchr2NNjmZIzrb+QstYOImDP8ruGF7myK522k4
lfexKgXipP7W1YpRcBD4Drc2Tw8j2eka5aQgM3f6oSufiAdpDNeFqJdvg26I/COj+Furi+KGIarY
Fssw3HfuQCrEENyj28h2o7s8G6O0z2IhlhgnWn82/GXZUd6pB1QtROxa4bSfK+euVtVnnyMVrKYi
UNTqA6X8/Fp7GfPLeBoBE6FSwfxBggASk83S59O2SKrC3XlinBmKlx0KRbTfs74A1kQsQZQmHZ2g
2CBA+anoFfayDZ7JXqHMNJpuO87A/B4dmQcJvQwr18GkHv0ZhG5o9T6j6TmVRWTEJMNt3I6EUaLO
6/qgpgUihjacJEAfWQiXOb/CMEfrag72fQ4U0NkkYK4RUqoluZ8Kl++022xKzrTExnTTVLJWt4ln
JIG9QWnVp0yqMUch/YqV+0W0JHbkG7OODTCfUofiKR+VQS2lWSO/+4Cn4DQO6WCckP4ko3yAwlZX
3YGWU/HFcNviIZxwe3B2YxluKt89TibCAz+eDUn8hIhn6nXPPrl6QiChlgluC3Pu8OAOtn1SIkb3
QlV8FBW2bSa/czYj+uUMCI4fKViPuwa9Z+zFD0D51asn6jggBxFusVOs7hu0VrTenBo95movR9hZ
nzIoVLuhGpc6IowDnoYRoBjunPVo50++tbfoEW9p69U7rAdDVPdmoDfGnJLGjeDlq5Z81Q1G/bDQ
v2HGXxtju50mVd1p22l/rJLAK/4QAluL9YDZzmG1bEcvKQFdkjVyEZhleFO6mfdCPiB/n11O1p7M
iwrHIV6/qIBTUnM85sDAxRiqNxFI5FnmwDm2YNC3DUiYfkiqlI5eTxlBwdyA0+a5Lbf/rQL/fybi
zLzY8//3gfj/lbAPPghH33/kjyoQhNxvWKFdG6MsHtH3ouRPLIhFhUh5iH8ZpPGqHP1XFbhGMPNT
ZIP8j6b0zyqQFFbB0JNftwacMRD4D4bhQvzMQHBNiLr8XUxR4fjy533kfVWd3/e68BQq55bWCOdN
Ba+fiA7Xa8zLpp0CUYG+okM9HgqBrsX8PEANsyD/tVX/KCpnWCR6JkZPu1LmslU5jw62wOAhIzuE
rSUa8xrIddSiUK/3jq1o3rDMznQjlAJlTVtTEBksRyCbU79ZBhzF7XVdznnNo5SxnYX4jK/cONcn
iqrJvMgzb76eaVo9Ev/VAv/yno2+mQ6qmfwkMrEChW7eXuVrVgFaPp4K1y3EY+plPEwZvRgCQap1
LhBIJHfK7mjLlmjPSR8pseAuq/fPbAXrAay66TozU8xlIl1JUhIPGr5inE7lodZTeSB3ogy2bthk
F16VdP45DIeJRKwZG1lnGHTjPGSdh0EW0wgSEdhlWjnFsYXgt88X6dO1x1WH08hZe5/VFE83wo3r
LwN6xHvlpfWEwB6Pd9r37BRYTwQ7azIv0GSZEeRuNz0P0pmf4qUBhy+TDn0meG4NBlK6vFEnNkfx
DJi/u1KuVR564cmdYxXTjpZPZxHBgEKTfL92S4an2jEUoTudFcq98FiHnsIcLyHmPQ7KQIC7YY87
ysSqzK2+NcAwm3edV+yYRNTVwR7KGG+jq+kF5QOivT7PDerbavKZrzqywRnsQC30purYNTHD8WQa
g71QSu3UQOw9s4AJrZgY8I7jHG7daIVjv/lxZr4srsUi6vI07tfiamfWzvxSMeMV+1BW7mFsdPuA
jiO9JL+kfCaCDcO/ufaAWyK0juWUJuZWSP+mqmYk/IKAT8m5m3Bt6L/cNJa2ph08sG4/T4nepb4M
b7TbtVQ1khiUzklOjH20v2nsqnhg5kCHxE1HiqHcaC6GOBcXAwblLaTb+CtPg4QCmVvhNzIG6SXN
/TAVh2ToxCNzq/FCycrfixL83Sas4/4hcKZXkySn7TSD9Y1JvKk2PAHZBVwoG/NUQiBZlID5uao8
8I1F6gZf1kPFgWQ3L8bDtljW1p0E8yj2R3vbx92jS+DRmbHT8g1Rdbwdu2R+YvRUoQxmY44Mwwzz
TWsshDIxA76ZG12fcQ/nlOZNnmcbAsviyO2LNa4hbj55STdslBHWF3WYJZ8HCk8NdzUu7wunFRGC
1/YwMT8amoD70I8dtm+nMO8IVRmjedB2uG9qR+DccQlguWzbIMfeO7Q3sorDfe+Z5Y/aKmaslH2D
4xtD6oSvalPHwyv4DmeLvFlFWMSJJCuZOjSOeNFq/uyW0o0YEYHFCydoDMW2g2WWlPSbu7QdvVtF
WzrhZQvXG2f5397Ij/+fXREQ5opu+9+3xadMJlmd/dQd+eOH/tgYffc3QPb8HoF5gRhAi93vz/aI
/RuZdc4KYXUJm0bF9K+NMfwNyQA+GzotCI/YXf/VHvF+47fZgcl4mUaD8Lz/ZGeEwf/haB+sOzZC
NG8dVSO2WRsofznacxZrGrru1jFgAsj9xCQwkojU4C7M3VWm7J2u469zHbjoXoMk/WSi1o0ckwFu
hizqbDdetgnlZO9ZEkidklB5btM5aS8lUtnHpp7xodFWuOji4TFGCIFyaOxeTLstJP1FLvCnXhr1
k1ghM221emMnzN/f2R0YVayGVmcGc1KbHfMNBpF4d1sCCDfCcxhUw8n7UWjaoIXdVPoHnNHQz09Z
76gzy95OVj1wb51fmnnRBgdviqG52k4C0DQxRuc8DoIVhdLaeDQct13JDvW045lNNn4HDrKvOFBs
faYyZ0vqcovcNvhKMyIQTK+ngMvSCHG0yLS4yls2/5HpERJpYTekeinl7q3OdDZxX3xzqHAvE0UB
6wbvjg2neCbTiYrbitljEBHikrXV07u3n5aKlVw4PSimpq3a2zjEkXbQMWgEU0/Gl6Evs+3Ya/0p
Rfm8Hn5hZ3QL0+0npCzTEPmexhG+yIVdjmkjIJ34XRICRXYQN11mg84yEIE9yi5wXkbI/2Q+AYP4
4iSU8mv76VEre73KhcW1wOJnPYaFi23unUKA4pjJT9mulIXBXs/LssHb28N4pZc79Iy2bNq41S5w
J0ZNQYq3DfNwh5/vXQDzu4/7/UumPHyucesxCe/GdwttWvEziOIL/6qtQZyJcGHaBPEmfsqdAKud
u+IhhsmhgVSmCfKNd9Nh0BQAFuoBXzJ4rWHtn0zNxK1JQ450dN5GRQDRQfnNuBz0EGK3TvHxtbpk
Ik1TmhGs1P2CS32dD88Vzj7kfWgKcmfhDREcze/pCC+9HApMJScjWH3QyuqYx4EWQ6dBWdN+KVWF
xTJB3l9xipV2vg1oJjhb0iY9ccY4oOI9lHUzuRjWQJ4NaVLD93cjfUam4UJb6N1e3XRQCcgZYhrY
MCnqJ0JQVkwF0pfVwemtbx6mBuIK9AdcQanWftq7x9Ah5OlCMyhFNtEPq3+dYBzHaHkT8SjM2yCb
vKv3V/T8FT4GfwBdSElljMdUcH1zBVJDyYJhPmIvhuuOEtNykNJyXsx5Vff87l43ZfsF/yXckI6E
yiNEHte5S3Jw/4XdpQ34fnTeu9gbMXt2IuP3JzYi68O8GuY5u3mfnSGfjaf3v5JkvzE5MiHJ6ogG
JX+s23rcZQYD3DPRPcxDyqLHwdx7is+5qKZueRjUCu1oyvUj/R3jARbB7M8DE+bLcFU+zbLh/4dz
xuE5COkB0SQCaVI07/boVU/oq5IV6p3Z4VSmNe+zri3flsXljsw9qj8oQgIMED7KoDo048TZ2bcq
DYoZaHCkyfdV2yEUjHsWT92b7xqofG6/IDAf7cjkuBpwn9YVZh8nbK+GYIya1g3mjSuMbqKUWfV/
VZ2AZpG9f0aCGl/mIWZrDKNeusWPZwHuIK548y6lG5yxj0lSFPph4i4+5Aj89wuIxcicEvduzIb+
NTdsy97QwQufyrDUD4FnVJEvJDe2kNCmYb42IEBNx+DdVYTkbZaGYLfVS17SvA1rOgNcsmk5rm2P
o0Ka+gpaFbe2VTcYdPERIwAR/WruTVauWL1e3xmrGQNqnxUE+8fEC1bqRlmus6P9IxIabjZ5jV0M
lLaSTnuBn9Q+NGWQYipgx7hbLdb3JagPgKMFTg7kAKn4REvUZ9Yo5x+OX9kwwYfsmE+B9b10/eUp
SCDq7Yl6za866WU/7E6rx9F154u2qt9lVIirMuOTpCn3lDIL2NYA4wkQDIPsMGN03jBkKum51Ip/
0/XeDCpSqXAy/YBKVfAEKDxxAXIhKrUcVcumWmL7C4opPB+IfroIEbJ1MeLEuK5oyW5dyB10yPUg
YFXFi3/lJt1ZerL64bph6uwWTmPlRs/dfCLvJDiXyri3KkPonUkTnwlaMPUWEAdW87vFsaH9m8TK
TR6ZhpM9bfuuAKFKbMmmMMb4tp4kq8nMwA9E8Xhv1fWzjbU2iQa8WcmBY5x91Ra1KT7FDPmfVEr6
Zamc29SduntUYclGJb11HyOMfah97D3lqIfgpoOvd8z8st2ZSWo+U1jqSycOHpdEeJ/HfhaHRpOj
d3BV3YQ8H23JyJduGQ++Ivc4BMnSilv0UGvSZZu6KJBSkwMYPWMm+IN5hy6sAR3jmzv0bxzPcltq
ps5D2u5KZdYmrZ1UfSU3EqMaI3E338O0HasjyUslrhTLKXcTKq0ooJ/8KOoi+JJBBkamktnmzZhT
lVem0V7AReKuVnb+VbO9X6pyHM+DML8qGXTXbb/MkLGVbj3AyPFw1XtLDvU5FA9zaDgg4nPrrrC8
4W1ytPw6A//oXvRAO/wu8xiDXA5yKZATFXXUdvKZFmt8xzA3JlqyiDeUgvpqGtB6lT0lje/J09jb
xo2UAw1xYaO+mf3qRzkoKDZLlu9idxZ3eTZMX5Arxlu6Xd4tjnz3Ro8InEgJw76yocnSnn36otcI
qUS9TUfTuHOKxuVcO6odl8vfkJWiT21f1V+zcXAYFbef4rHFFGRK/KjNtEsRyaEGNL9YIrnIVd5f
AbR3npVK8D/5BSwxK+6tHS3Q9LJPHJjhQTNej748BqMamFsj9UlNa2TVbFrtXKl0cHiHgRUJLF7l
NmnFOLD5GQAzuFXMLL2qVNAccfR/jnPH3ySlV0Ewaxy4IkOxJYq83FrtxH0gWmcH4T5kpwhhtiUO
rZraYwvf47UwsWuJ1r5DuejdAq0YHhqJkGcjazJl+jxFBbToveEP03UjC47gY/LJMzvrspYGoilb
Q0AHJL4PCcl7wH4/odKi/NgLdBBbDZ2o37UmMarj4Lkdh9k0va20tPeo5eZHU8rpcu5t87Mh+cHJ
S5prVqDpmOk+67dDFd7Zgzkd2npELjUIp720q6W7T92qnNCM9Qq52NoUTlVjnUYiC++yzDO3MvYu
AvKBrhri8D6ZPWmhG7can9Ixfc7Rf5J+aQUUFHpKPk1tyPyn1wM7bm+fPFx0R20mYkNEdrD3Ro/P
YZC5QnpYmSHaX3/05H7mHM2TgBUwajnr7x3ydptLFCCYb/2qPLTKCZ7akDc+tVo+xHnj7/GixvmO
7VAdA7rqWwLPCjQaECUwrd4zL6lBY+WpQ0pQ0l82zszAw0zn8VJLB4y5ENre8zP62q90Cs6E9eY7
ZHnvLcCuuMsKz12ORGaWr60PbyaUIdKgtbSi2SY35TR3G+aoVROVVe7tMqNrd3k9QZsdgxGAtCW2
8VwO0Tx1DCIASl7ixp7OSx+09if2NxKd6tJOgbqEurrF/QX9pHCb+7HSiXdfhoa9RK4RStjoOWUB
cBsGQ8JM9iEsFx4gk1qw8KziBjDDQzKV+qouMByDugt1lPdBfNdTBlwLaCCsvLOdPPv4pZvtYufU
WE74JRmt5n6JVY54MEn3eJznK7d33TNxS7iiw64ztmPjktfYlMOltrr5EAAsviVItn9MVXXC/3rZ
Bljcu1B0NxW+UVr9vknroZMni+AMmHPBE4Wa2vu93E6+dO7yaS6JyZ2gVe1zXSXlqSegxNpn4bIw
dXBkm0cNOpackZ+33I+22X7ThKoyigxp0iDDq4Cn1PAuatKpropRGtXrPOn+lpjR5cZIGczukhYt
0LdgaB/bca4LfyNJWo/FoTJY3C5ijfAwtf37xio/t2TapJcIcPz4yq7NF9pr7bV2KeSygHvhosCk
zeeczxhhizz1YeBD2vycVXwl1UYSunK7hr7s3QwzHy1Ft1WfwcM1kUPaU+LfJqLtbtn9aEmxg6rj
X07y/2akvx58/2XSYKSPPgFgdRAELoxP/yNPvqBYir3ebI7uvKrp3SynTBwt0BW/MC2sEoS/vVCI
TYsuOS6pj5FvgaSY7yC3HN9JXJxTkYQOdUetxsfgvPTZimtKGk09Sqztr7wof391JBirIwWWaWij
Lfj5/N8as+Wbs26ODGDFo6dUsM0AclJKoB1kSM+regNz5+h3iNE/X2PrZ7/GepHJQhO43XAS2GQJ
rX/dX7oPxLsYsPFlc/xdrj2pBDibX9BARMrFCcqxPN78tPLvhgQN+IYMr5EzQJ345SqEth7/+Q/6
m7bCtKFfhFAmPCQtzse/JwnVOIuEwwxiJog2Nu0HN0vF4wKq8nsorV9Zy9y/KStwM1gB7hxUFQ71
Ie2hv16AMoUP45p9c6wrCa0w5bwGFsJ9KRiDpVvRjK9piSPtnEzBaF9I6dnIDHtSYqrr3M1LtjtW
8x0hW1ADQVhBGkL82J4kvqCnKUVvPhUNd5Kz1DG1euX1383EtEO6OEw0HgSqRbnrNLTBbBzbL0ML
G61xJzU89Fbo9vtlsCyCT2u8J87XhUNkEcWB5jSfxPDgMjvhAFqwTTyiE4SsiUzrO+tE/RYsU/1g
hwnHuKHr+f53JLpZkWp6lXAgNtYN0+RUbRnxHZi2sd8j04CMhXqXRF++Ud44TWt5BwCMKNh70gy+
vDdA3qk67x/6f6Vfv5B+Cd/75/bmfdp8//F/Lvrypf7+V2bMHz/4Z4vT+o3N8d1kGhI291cnrG8h
DlvdQlhzPJjU/9PgxOzKT7De0cxfNWOC//TH5A+aDOxn3I7YyPjn/2DsZ787rP66tLJ4M4RYLVg4
1Ezb//B0dZIJfRWGzZHIGYq9OW0eUMIMbGMBCCWSrp5VNa0ojjaDAdI+lxzyL0zln3nwiISplhQY
RO9Udwz169tyNJ9cOjcZeEISBRuHtXIZ4fZJCw2xMxs+getoRgJO8e2KDRDaus21IlHcrq49VV7b
hjrEQxtvB+mG0UhMCMXOGGwmmb2N5pidK65j1KFU3XDE68ABBMtGu/T1M3O5bELz1rN64rakemm0
0kCsyEd25mLDofitL0FXVBwsdn4TnH1bHxS0JiLD67ewqK8V4I9YuykqnXHviOJ6nJdbJ5/BwvJd
nI8hxWQvczs026ZbXt2hODGmf2Xe9tzNPU0WQF2ySu3PceccMxl4m1VKtCPBZoG/EoDVsp+LqXzx
Eavv4Tvdm9Rh6xVAeRCQ5l2+5asAt6f5uoftvOa/k+I2JgyHJjU9Jra6ByuOIkp4yYUsw1cVF+HB
StdUuxnFqGgulpUNaihEUDTOI8eF4JuOgpRg/eil871qnefULk6JLgGD5S/N4p791F53MAdcDG9o
zddphvmWxDB/P9vDvgvbDiFqcVocjjNrqCmqU1oZouFCiVTGRGBLjA1rPFsGcSsaV5Du0GYz3Lr1
WqbVC9penCOQ/zYDsdsIpThGkM21QxDMWMa8HYQ6gOW8tIKELuhkXrZ+Y0RTkb7ZIP9pAGfXRaEv
BR/OMUDnvckz3iE19RPERKi1ZKdss9BG5NTzQoyK820aOssVgMFTMy9P0oF/l7r6sTLdrZ5r/CCp
HLZxAwpqQvlRCv0aNMslczN6e6nMzkVHrIw2vwWdfROqzIogUewZSB4XF0pip4lu70geytqBG9U+
oqEnMcokjbcYJrL2xmUlV6KPUXyeIZ2mU+hzJ4CbHjadqNDV9OZTnVivoc1xkSMUJgWqUaA3j2hw
oCqWbxXMJSLOYOJRkz/aoJ43WBEI6xMNfWuPebllZRm9Fa67VXuMm53nBhTZHj3kucV7t8ea+2jz
Pjep9rkVbQ9yj5yP2ChwJFr63Aqj/ZoDRo18mmdbacTTnY3YGBpKEkczhL4Ijfd07Px5OnXseRd9
5QUXtNeNmyKdy123tNVNbbTz3kzL6VSlXR8Jo7RfB6v/Ok/Su7KCok24a5p1SMBooCVXversrV8s
6iX2G7gOHIUBRDFSrp8oZ58qbSBbWZweFnUlMgaA8dmpi6/SRuldaGgl6KGjxc627TCzMWN3sbYS
nSzKVS2TEyxpotj87gyY9rZunGanDOepMWj49DS9dtMIS7me5WtdC4btRp7usAJuIKIwA8V4t6+y
atwi+ItvrcElDL3m9l9y8dpY+Jz6jiCxdDIjTwtrT/uSzw29Jyl53Ia07UwOyU5wQ7U8EvDOTUeL
/tk3vPMoOnURT/KNNt2l4/0qPPVjUQb1XqAURkUkPDTDH03wWe45I2mtzRE7RLGxx25Yi5AzOKfr
JbZ+Ffb8sSJbXy1kQyO72XSwwX+wbYYO3TVv9usjUZbNlmHtCYEjOVs2C/o/F5sfS29eiUjLYBUn
m0TgffQHK9/Xdh63NEaG4iWMWQ3X5Ti31BzZqBubC74y9//8mh+EMBxneM2ADRxZDclnH0PPErum
VQAr5TgPbrpz++mxIYk0Mgg+RuZW0stj2S+XS9mzuv3zS9t/GzWur43HjdMUMYN/O1FRvitOe0F9
xEJib/MGrtccE7XJcnGZN3lxNEP9qno97Qs1Tad86nluAaMB4SYJFQFAUi+XyIvZdW33GIZY5gm3
24lAXSosGKgvxApI515t8mu6RvvKne45CD+ZaEnpMjHvC0oj0k2D3I622JfEdb0IGu68/ed3+m9u
IZIaTeGCZMEeLT7cQqLMACULpz6mot87jXlLM+a2WmT3iyv6LvX+ub4JeSF7La0CXNEf1e2hsgLN
f+ReDRH7MRC8na3M2Zkli3Dthfm2D+iFJKuCeppv4S1Wd+l6mHWW5K2bWJfXUoVQ5RUvry8To49x
so6PRuid4Ugd0oDl3sU5GCXJainUQj8nrpgPSFhayErkT46m7O/rQj9pybY/isw5DVmAA84b8NDW
2VucEXdag5NmuhY0B23kb6Tirn17DhfEF+rWPqYz4WfwsiJ4qaBcW03AJed9MS63/tzZdP343WFg
fJWrJ89n3vqLC/lvVhhMAgGADZOwOvS4P5/CFh9NqmPY9ZF+yXs5oVnZ3FYwLVL28Z9vjo99hfUJ
dE32KfS8sBY/chkkHD/mgXN9dIvpnijHU9X8asF87018uC98zxIOHnSLTLyPQ/0sZcYBorw+NuHU
7vtMi8iJl9d1pc8WMgkHGZ+QamKKEGcVh+nOr8uToePPaJm+BR79TbRqchOUuX2ccjbxFAH6hniV
a8tK3hhz2TvkSsWxtD2gwS5jndFc+qsy83ZoxT+RU8w8uQ+YYaNfjcCv4wu0bBxVIUl0QuIOt0Ok
82C1Bqbl2ZtLnMsGOvX1pIsTmt05CrycAtVSVL8WYap1CoLEHO6bWqQ7x15+YdZfxY4/9WD4UPgs
QsYarMPIF8XPNwCW81VWXdVHq+SgMAFsj7JhpII3Ct5zyhWA3pxvyzk4V65Hfngvzc0CQZIJ7FMQ
F6jJvXrcq3hBV+RZzXZkbEL7z94i5OCIPHnneES5NsbuOQ1FDrKRlahtyAD38/nJFOoVbe0m87MH
bVMdkvSRRdLQhyI1n2YKsU0bp+3BLtUhbNV9gspnk0vuT6dl4es93K2MLPItvIDwINzlKWyxhfzz
jftvHhL2jPV/RLZxevtwjRSyP6YVU31UQY3inOOHr/hzHGRscZv84hOx/tYa4iNBrWmzrFnoRv/2
THaOPQNSGuujFMgk3iXKEIlPmByOocXnszTckgtCMvQiLFN5TgWYlNfMXiDVNXTRm5qQbAwb0Onw
VmwyTLg0a4NvfWFdGVNwQ/RGD+SAal/XZEfjUX+FcnevyxnX47oZc5sldvESq7VKVSLKF/MajcI2
142IKFd3tI+D/cBH+n68XBxtbzOXbwxlcfKMgZ9o1QTCeCQsdBnSCw0e4/0QRDxIs2X00ZzqUT1m
AwfJYMWt4SdRG3dRj3JITOCDIRrM6RERxm1nZCfbplqz/HGb1cW8Xb8wKv4lntYbsh2nveUwb18f
o16758ZXj16yHiAw2fI8QX4pO6olFNzXukPv5rd8tySnGjLhmleM9Dx09aschq0aucBIGq7p8IDd
0ZTiTuk8Ex9xj3zGi+wGXXtdnQxIgEtF1rZMeICHoTxxKD5UMTsL02NuTJ4OTw3XmAu/pr2qT4Xl
nhEzbG0h52g9GOnV7aM6CY+Cyr4cnGchkbz/4s79N483tQ4DVrK1uaPMD23GcrbzjuZydYTn/Fr3
031vsu9B8eN4x2O91l/vR+1mCK39EFLpvT/zNfnX4EYVmTv8WFfZ22Ko811YhNtgkra/LYeki3CD
/T/2zm03biTL2q8ymHsWgqcI8mIuJknmSUpJKUu27BvCkss8n898+v9jVhuo7p7u/vu+gYKBgp1K
ZZKMiL33Wt8qA3celmOudwxR4N80uwjcX1Pm0QeUDvcC8AWTecS+CFoDuD9rubcqvBkaa0zaL59H
k+OWaE18NiIZvDnqkTs4nKwjCkP2w9isuCARx2yVDi/9yAraGv1z61CSgum/YNJ4tuxNL4S0N0ja
zPSbab0jkYd4kAJclK6tsPmWD+I06n1b98+K6uCYJZJwEeqnvB9eTARY22m+V7/21/902P5Fh40m
Fh3vf6wf/N82+15237s/N9f+eM0vd6X7GycFKUhisv6mt+Zav0kdHI4kN+umH+Sg8ctdiUaQlwCx
Yp3mft8ab7909eZvKOARfnAKoaZCkfjvdNjsDS/9540T2iH/mZu2HzgNv+l22vlTAx+cCJNOgwQI
O3ccb7C18aEt+/GwhvF8ziPaCPh9qPUrosh+kEeCHoJ4NjTp9JWfq2oQu6Grte+Y8MUlY17wQKPa
fJEoc0mVqmXpR52lHijAu+clHZMXSKv5IUPIdSoiqX+rSF1BQoDmj9ox6JeuecdYlB5nbdNzJek0
t7tuqNcPUbMIJmEkDXxpmfGp7ZLs7JZ5eRcqMz8MFFygF8pLZVOWu3lY+FpaxIzauulUJgUCNBrr
pm9okToDPq6BvOfzY1U7zE9zx71fumgkXIbK+Tprg/ugkkxc9CURl8VcANiQTNDsUYrkB70yojfd
TdwHGJFP+iyHC9iql1XQm9BlSNneWK6GB7A2f5KYjL+/WOiK6WNp0H9r+yd3IaSLPBQzQJ0FDrpF
an2wc1H/mBD5783W3M5S6KxgTWWvjZXSAZhzKz0wLk6Pbret79ZU+EItutcTIfGlcpLwsR/i6dpX
yfrhLtPyVraDeUUAsxzNJW0fpJnOV1vy5QjDSPZNCBFAzLJ5L8xh9kfmMft6zMeD0jM+RoTf28rK
nE1iArxJbs0PzTW3MxSlrVvfGSVHw5BE4yHJxS4TVel3dngBllWcNEc75biCfAIZ8PyNbXNomtH+
GbkogjqGuWAQ2GQgEYaEgMbFk76qFXm8lmbneCFIPTDXdLirrSX9HBHg8lU1sggwU9RnZIbTp3qc
mhc3tJLLKqS40KGbiXtpzeRL2FvdfTqI/JNVWfWhoB8BxxqQ7dGec/Q/FDHmlUlQcokiC8KEUsxb
cQKqZ2LMoTCVfcPwrDPHezkl4skF+nomUl2GnBys/GOY5/ohlDI/LvNg3skeH2FRy+Tr4Kjkralj
/aEkSOxaIIU7zgS+PAhtNO+MyWY4N1TRY29V3Uu6mkSFFV1+KrThRDDqRM1W2s6D0dQGcbA6UNrI
yk6JjiYHhLQF0jbr8v1kxfZjXk93Rjyh1kBfeNREHwxx1H+PBwc//jJnemDUofremNPvdkMSRgS6
Y1cshU2sU2jtlQP8n9aI8dm0so9lMlECa5FlfFVO+VKN5vq56+rlsCLguUJlRMdFg0s721oncACg
aX6IRzoD3qTJ5nsXtukTvPOGMBzaBh9J6MSHcuRF0Zrkr04iCm80QVKRHlLcpREXcYLJfJJDLn3H
Aj2rzK5/Z7ZJpdJn+gu5xieUSvIMXPpQgk0iYQKoLAe/NLuaup4/22F+lMvUn2W4licrK5CN1OzA
A4vl175yk5OyixAkq9n4qsP0yTktfaY9Yf2+wuT1TMbU3hpz1IFJkr0poc2vqqy1aw07hgC+Gn5B
G2eG30i9ftLaeT/Rfrtr8NWmnuvu7T4tDmE3iQuH3/zQ5NcxDMc3LaQMyKSpX1MRmSSNOAIuDYFM
D6UY2w+zX/hNLOFPYlaHSp/mYMyRuOLeMJ23ngqZOD+x5ohR1VIF0Imix7WrsoM2Q6ncLYutgPYi
qsFsPCH9C5dggBiEB6ka6My77vgKoWGDaZMAgkMoaljmOmbu1BDiDvsMRKEyFIGugwAHJObsogg7
RZK7GBRlg/G1LaWXa8kX3KPilItOBBhTGijmWfWeS1rfYRW7V7tw5Knr7LnYbRGN12QDpCtVejYG
qu8yVfMhFYjHRYdWxasLUzyMTiU8JyxWxIZOLoPCJAbHZdd4WK04/oJDOrkv1vGbu/byyI64km7X
jQ+IlgBljFN636Wy9PpFc+9JYGmfoDQ3l1RMzWctTPIHJsx1AGcl2utuFfmrgfzM7hrzSzYVxlHC
XQna0Kn28Zwav68qQntiu/V3y2y2zWVYGTcUefKKiBxJH25Zd2+mbnQYGBsFaOonhGph/EQnm0Uc
N91ujJr5kxj46svYXv1l6eugA13O2RcrFxTNKn40VTpxo+HooaBDhlQLtK2k9gwHBCL9KXPX+jUn
4Sgh7zXIlnB9ykbTCupxxPa9gPJPmVGU1s6O5r1Ehfmgo708u3qUfZsaI/MnhvC7ERnDhf7pfNcB
QD4q2kgICpvW/ZpJmfhFOYm3PMTvz8oUw903/MWQ9tM6pNoHcHRxrntH2xeR6h71hEwb29JCWvNR
d82XyXmNJifc66IRn2KI7LydCjVvWTS5N2PVPrRL814ivvsQ68DyP7T9ipp8tqLDbE46zT2suXDa
78gN2Sq7sk3mhpJusgsNltgg6J1nibhu9iP2/jSNEHxyEGGC13CuLk23vzZRkx8rdOvkUdcKWtza
kWOFcdZpfrptnZ3GPGYqPk/afWIgE3XK4gl4WHbs7eGr3dpoYqoOKT+Ct+E96+VXVADfRTj8BEn2
1SH9r9RXhjnrROFkNsWpLdUStE2CQjyqz3WsFOikzCBwaCo/6InOX9qQF46l1LjVk6WnQqwjPsVw
rpuuGfsD5/ZmlReOWmWE0MPI4IslRtVbARlY8f1MtoY/TPPgPJElvMi3ToY/h2QxHUxfExcOu64B
FAEIBQQ2cRgWTj2HIq6rS1I3UKFqFlDOXu7o63OYIUmCu38maBIu4JQaPoe87I601PI8tIn6ai92
8w0hcpQ+heRS3iHg0tsXplhxSKwkgnNY3d20os+Oejv94QA1117thhEWFARcFnAhkozAPpWYfqmJ
5dC6VbkfZfcFdzfanjnKfYF5kMGQ9WXWjOkok1p5S9FDSavKee/miuMkMvukte7BvsFDEKT77DKY
b581BWmDs8hrucZ5EKOMojZ2tU/AxaJ71PY6Oj99ecAMh/SWq3lee9oycTJ9tzJ3Obeu1HYd2ueD
Xs7Lrhy24xYouWHHTLq9S5JTFu6h8yz+SBLI0clNC74YeuGO3jYCVuvKYLjz00aLTitmkhNROeG5
ZaBz7kV0L3ViG4TSazTukqiLSDXfBlPmiFXt5ZA0Y7JPe+ZlWiSwy8CkC6bQquddFZNE0YcwyQDX
O8dB1NDwcgNWIdlCP5lPcoyuM/JO8ds4pv4DVp10vnRiKFX3MVgKxOors1lOHB6QvwQx1600+U8R
9y+KOLxbW8PgH1dxX37v+v/6P61gf7zyl05C/aawa0kmouB4Kcv4ob+sYMZv0jbA6Ejd1f8ih/hL
LWeJ36QpdKEcRv+mIzcNw69aTv3GDAdCsgIxahmudP+dWk46f9clMSUrvQWqFmUGv+XWAPxTLRct
FlaIFDAeFOjhrnJKAgLpjHZ3JpQIP7d6HvdsMPVn9EcYZKJ8J7gZ/XxTiUIiA5QW0uTct73bfiKh
F/uxmRPG6PT5IXY10mxuwlOU481+uMlR502Zin6A4JEhHcJNlGlNsB7wmtnUD7b0R3fJfHvTuXL+
PJcOlR+crqgF8uBEr3oJ8Gw32u2WEJC+udP0GSstrT8r7JbXtR8BgqJJ2iejJvx+k9yCPtTPHBTZ
kedNkktMHurcVQtJBliaBFfRike4FQohb6Vdk7BOwYPM6XRskZtf1mnhTLuJgNdNDgwyenkJ68Xc
49yInwy3o9Ry1+2T41fpIAqymSabxJi5Jk31eFqKT1Fs23scZTVKUv5aCQTKpL69Vqi4d5GDeNmx
Fhgp6Fu1RlR+hGQbw2ti9Z8yLBhPYaWb1/Cmhq5uyuhqGfjEuaOtvjuELtPe0eIcj5xaIpf3+Z0z
n5Oy5VmVS7SMphT2BPPLkGX1kaPJvdpE2voQP0aotgipW4RFuskYMzOwKRVoYq3WfY/qmX5eKXvG
bGsPmbY/ulPZv1odBNFdnax6oI1GC1VuQUXedqXN9bCH+9Uxjj1acyKDbH/Y5OdZ2H8Oy0Wc3al9
XTICddxFlN/aKV3Oeoyitlic2GfSE0QMqf08jaLnzipNfPKqyi9OWjD/vqnh3byI1a4uKvkYDZ18
ykwt9LVYjV85uxjXhTlgYEdyvl/W+vf+prmHlCqDsEmipxXh+3kmra1NiUNiXDrf55twn5wFbMQl
ujQmFm9RV3FAhU96im+a/+mm/59vXoA2irpvHCaHnwkYzitOB5s6pTE/ZZJWPAC7AdFv10ivHwu+
sqku2gsGrG8QAoYHDYFCYEzid8Dm32ikV51X2GVzGjfzQr7ZGKAEEZ9StAsmaAK3X6AeVl46hjly
vxAXxHpzRIibOyKUVZkDqZumbzjiKuHrCybooNOaDnTNZrFYucqBrXpkTzRAxXXczBjZZsuoN3Sm
N+tLeB1xbeCf/7p27lfRYk9HKoijUxT10WWDhhmo0C9jx+aOQXcuv9iYQshm+V0Qurns0s0x0m7e
ETsf6bDHOdk8JU4bZCfSYEjJ2sFPwFxpdvFD1yR3jnSn06wToLOrpBWDRY2Iybh0N/eKE6J58Ia2
/lrc3C3tZnRpRbdPN+vLuJlg2s0Os4ybMWazyAx4ZZCix6fs5p8xVsMpjkOoF9Q+w5LeoeRPsyDp
MCfuZlHZl842w0CZVXwiR1YPmpqDglSa5us1e6vVFou969e7UijtGEEKPWQOeulQGhB5QkIjXbFM
e6AGBErPefYGQRFcS9pMd06i9lbZF8xtFh1JdWdlAEtT+0qU0RbxlWHom8CqOGNmAZ4omnOamatP
RYa/nKmgN+pFdJlGe+IbSNf1BYWwfbKxKV6wvGifpwjvR874NYv8Iu/oRyVRRfykZhb7tL6Ty/yG
oEj6VdsZJzJd1sDmX93ltqguem42CbZ1jeZYUzUGgfODbapTJkdcBKptrqbbmi/MZGJPSkp+Dn/x
5C31uhxC9LqKBlmWfV1Td+AIraY7nMzpjgUCayx293gcYqRpym33W9AAcMPxAZDv8pPj48jfKrWP
7cgiyCipEZKEYC5D2QByjd1sF8tS9ytDDKewWHKCocP2PsmHb9v0bD/1+Xgs14aWRx5WdLT7epqk
VxRJ/0EggElwkaW6e2uz2o+R/ilS0jmaWiHuErFp3EonPeQKIBtS9mNXk2Gqs8EG5EqRI0RE+tFo
S3ESi9K9kNSek5ysOZAg0GnWTAKybQtkqBbG/aB0924uVYKHKX8O5cpUuovUYaphrYKkSLaj+VDh
8HEwjNWsvajvct81jQbnv14wNKXx4YvZfGr1ytOq2Vg8m0f0EtdR8pCI2fGynIkNqjLXpyWpn5e+
CffT0NzNRdEEYp072qntzMi8ngKSwjAWmjAg18GKT+3qvjMZoH9jtz/I8x6CIZvei8KCvAnhOhgG
thu9hYDbdtFxmPD8FSEYVT187rvSfDCJSKP0Ge0rgrli32rdQ7Skz4PotOsUp08orpwzZ32DpzF/
iFSx7meZuWyNIEYF0O1O7m0qLlR/blTu7HHovRZj66uVkXIN/2iynpshieSZuO5luCydiKoAn6/e
7oxkNnEVC3MjwVoI6kQgS2cVQRy69fqpSISrvU2dMS9+gtVwZeKGioAeUcmclQ5WnluBQrW8HGs7
+WSrVqb+Oq4cZbostx7GDPOxh7+aEpPSsYKDizVvqfTZ3lFpN49GZWixX6ft+sWsh/lLUYn5rPpU
vxuasjs0izaByyYmg/yeJRvPQmYTSz/ZfvsZwfVxKcQa6AUrppNp8vtCtBmJnUN6xsc3mHg+VfHs
rANjf1EQjmXaASqBCfWdE/1ojEE7dP1kP3WL0+wnp0GG1fYpkLaS5TVrTL4g1BqQVkUUfbaWEJ5J
WvQ7KlomTy6weZSZqzX6AiXfbsJ6Ou3Y3RhK09A071pCwOKgN9pa70i+GlyHFvko9nbH3rZzFuD5
sIcHfMTw2M8gN0uaIk43Dqebt4ckPe2kNY3k4AdvhVg9cECPuq3J3gNS2ySQS8hxrxx3bf3YHCSQ
sEZ87aAA6/6civTqxG3zTCT7BO1GLolXMQw5dEkIeo4EluMKQQ9rUzYTXieWVqEPb5f+CyAM4rs6
FyxI6mySWS7+GyI5ErQ6+2D24dDsEoA6y2blMXk9RI+uMkccydo07rSkiwJz1ooHa9miYTkBNblX
MG45WYklvoRhnHpRLcLYiwbTIXN2sUp8uVkvvIRp6BuL90q6QCdR4Orv1tZOWBTBrTuuKA6WHAA4
+a0IAOG7DOmyawfb8Ho0ELVnyRgRYdPhjYMPPgSIri61PdV7dyr6+2lQAGhAJG9dC8e+dnk7ZEEH
qP1goV8KXC7a2RnoD/g5IJgfMy3Sby5n7ldjkeoutGIab8kyqvsO8Lj0w4gIgAsyUNMzFvXWF2b3
ZQlxTcjItva5Bk3dABx9QoOyth5zEvnVrC1iMjFO4QAwFetAbrgX2I3L7wZAEa8n4Ow762lyTiZN
J5jXkm/jiBDVy2C7hHsNnJfj03UyaAQUeM3K3nzG/ASwWdJvqRaVBZmVuGRsFUMA9GwkqXicHhiX
TM8duO9dWk54qgAX7aqsjr8vzUSzx6gqa68nVU/2tF4jhKQP5BUVla8Z9oSaATjfG6NQPwwYsfcw
D9YHB73mp3oi4MVjPU+R+erdi1uK/C3S4S9iR0xd5LJReEZ+I86iDpu94n69E00kryYdAg8Oe3Uy
VsEbrDatJmXVwVIqnbO/kIFthxi38cjCK8uLcj/J2j6kuVaeZoEzsXbz6QW0trnXaEv1dZM+JhF0
5nRzpqUKjxqLxIiQAJsi5GyDAwsrnwkEw4s3f1u2Od2Wm+kt2/xv1eaEy9rNE5dwRoFIRYzS5piL
b+Y5dfPRbY66sa+mH/Jms6s3x914M99Nmw/vP/X//w8FBoPCJgj7x/X/HTCZ4SNb/mqK+8eLfo1x
9d/QF2FnANjKkIzC+1fh7/5mK4xGm8BVOba+2a9+DXFdfBAoUcX/yYCxtgEu02UMUGJ71b9hk7hF
c/2VWgwoGqsdBBo6keC6/0b9Bhombp01jM4cAPrYM01dXfGQr3sgZj0NKxDOo3iHYzaf6say2FJY
4p8p5fpjq4rxYDZ6cxA92Zven77Gpz9+hf8qh+KpSkCM/c9/0wL56/EyEzY+nI1JzGDMjaLyb4Qb
M0kILA3MDdRo19Wj62bi0VklnPlUC21kGkP1KdEtzULzENJMJIlUq0dKqZml+QfISP3a6bbTtEGN
21p9WWsteljihj3cijv9axHHPQttPtbrfgVL6vi5nRoCx6XtdJpvyV5zjhOSIt8SWdnHvo57Ppv9
il2gfY2BaG0euYKWvUs0/bMTdiRhcwalBCaS1j077aBv0b1pMLfuS+MMMaB5d3LMp1WXA2wDDu5T
2xRUErlBZTFMKSNVzhDPVmji1Bxvrs0EpiubW2bP+n4MjTg/9xhHM/oam+MzHUwYng3m980OWrbh
5zmMtAMMsfbcRKl+GJhuf4B3ax/dwp59CbpAj6pzXcnuRd1sp+68HFQ39HfsheN51kaNw9WKUzUn
Z+1hk2Ldl/hYtQSMzi7ezK0aLlex2V3ZXSucrxwYKDhCqncx2NNFi+ierDe/rGIoG0zJiPFLrUw/
ovyxpTilLHDx2hJNAfGMo5L13nZFyswp7tD82dZKGrFI5LNAZP88JqXpcUQtnuxxVRh7zVbPLmaZ
d+Zruq2ys64lj+vaBJyJjH2zrcXLtiqXscn6vK3U+bZm17flW2/l4NHEkcG6re6zGdaBWmkCm9va
P2+7gLXtB/q2M/CtN5SpWbunuhXnSDeBxuqcfwl1Z1sJtx2m3vaaatt1mtsGlA1a/Yk8i/XB3PYn
c9up8LnIvbXtXsgHQM1sO1qOjSAwbtsc37u1p7Jh86PHG3/Pth0RldTs0XtoGV9shppt58QkO97Z
UzcE+bavWg0d8F5bUWxOickHYv+Nt50YQSZ7crttz/ltq55u2/a67eA2P8TT5lwD9e6yLbuT/h3X
S+wRQMPG30ThpSkwdzszTkjrdkLAKC2/drdzQ6hi/WSMMm39ajIXJqK9KpfDCAoJBQQdDwfIR6EM
cpGJ5+GQ6C5+HtFFQhIaai9IFoTaWVren1zM5HdubVc2kCmRn0a1tt2u0PP4PspkeQdtlW+Pzjd9
vDENGO3F+3wxbJDMTmh9FMgYJOPdqX1hEFPeuxwU+frWJrug6gr3DAtDz3CQAJJM4mxk2NwKx8MI
1i5H8+VOV0UyvX1QWSVPWd++uvG0vqtxnYNw6qwTPcVql0hopn6ta9UDK+H0FTKu0+5qRy4Cb/dK
tZohtwJbN5XTsqu6Vn0rQ+UOvt20c0oKge6MFFQ1SB59ZfxauA5SAh3URXG/RSIZO3cZx1MVgRRE
BJE3cChDJ3+0K7p7iMki45EQaUqMduTQvpbxOO+WsssfQSHVBGY7ccpBf6y0fdvp9ejX7SofJMsB
4i9CS3ZDmBefQ/zEz8lg9kA3csO8hFu+stbQ0PWVSeoynqLqRVH5wGEYoNAJRuj3knuU7s+W2kz9
1F4mAyBCYkzZa72lOztbznO0DIVPBUqATL3FQNtdln2QO0U4dHILitawXz11yZJrb1umz5YETKq0
YW4B0/SVIi5KDR1lb20Z1O1qNmfIS9PXyIlJHt+yqvWe1OqZ+OpVkxp93y3TWtzirfst6Tp2R/jX
09h+ss2KIGz8IPGV9rvxpYLD+6yWudCPHWXuk2VZNVbipc9Qlqu4+0ZpWRY7Sy9ZHdoNCw2pKPsO
sLqBpKnP46UnBZ15uT6hzWPQRmxrBqH4kbE6g2t77Hi7POrHn6zvBGVr8bRvlOy+Sc3lLSJXrPe0
nE08gWZ6ajMIL81Eojhrw3xKt5TxkfgI/uCmY53nIQfgS2WBGAbSGglcnnuLKgd+qe71W4A5OV5b
mHlHrrl7izgHBzDc9Y6Ut8t21Jz4rhCtBgHY5EOOugoAJ37Qpp78ybEwRzSz+ZmEamJ5aqWeXJPs
iYygdaPpXG5EOzMfZw2kaMjSv9r5fbQ4ISns1clVQ0F4iUa/Aas9ouayDuraSh8Wu1IHq9JqXrDO
xmPJg27tpi0M3qbX6RnGYPhFvJAI3fJH4gjtG16e5trSAr9jwG3lXlfHhM3b7vgxmsB2MpKm/JbT
/mE7l7znW1A9dylFjXXLr7duWfbLFmsPDnVktu4wtTOdBi2UzYDZ9PRuVVYwLNpi+URmu1t/XkuI
allxcMq078ugkQ1Qth79SbC4pTkj2IyM0E8xX9NWAiUJ9TFWE+o91DiHOmOEQBSRaL8m5Pd+5gjH
5Yq/I7keHzVhZc+LkJ+yOaQiSIuILDoL5ikg5di8dAleiB1OEeMRnTgB2H1cfcOB1e/7QSv8qhdc
rxA/XLXTzLT8ZtpNwc9Mxh+GXmagSrckbOLXiovTQAbqWM54irpl9aIV5fOOc5cBdh5GJX1VZWTf
gTXhIdcJ/Fp0JpdT6tbnlLx2teOp06yduWCkZrYaTqjWq6Z4nmLRPwDDXK7MpxCg56MwfdnptJPa
nE7n0HXPOOPZrMEYXmK7gmmKTs5gdE5mgE98MqHJdIqAc9mFRbY5rnafaSVxzenc0IlqUBG1q+ae
CU6etgOmbbRBkWL1W/S1t3YgO9aTk0pFSEw1yPueHorFTCEfjN2srQroSZqO942+giOdWEdSennW
hsxz0/aLAZZJuyKCKKzDwKZ/5aml4yG4B8LARRB7HlMAI56VJGVzzBgkzYT2hHHI1mpx/qpy0/k0
z6Beq0ZpUOzTRd45kGwhErlmfXAqmacXPEjQvljaC4Lonflza7jNs25O6lsT0lasJMn1eBgz7cMi
9xKnnmqIPujaGZlAVAhzF+srW0aj4uGQFLX+ZCRRzAS+TlyGF6r+Sa1qJR54CXECQJgLr6xGxtS0
UfDdDVA1+jvpLEYl/zhk/2es+y/GurTV/ulU16vK8vePPvkY+j8Xdn+87NdIV/9tA1frTGWpkgB4
MJz9S2WnTKa9NqY+0NbWZn+ntPk10sX8Dg2UsgVp7h8a3F8jXaa9FHYE/po2daHhuP9e+Im1yW//
qrRT1HSY84ntoCMl/ra0s+kTuehHxmOFHxfQZYJcYi1dJlr92yKzd4eY2F1drX1QDrPrAVvn9D0v
2dnRs9oTvfPijE525rCWXeYhvx8di6YcInGjaQHMCfZ5lQLtXQaLBRNZ2d4yC+EjguGGdxp3X7sa
elo5YMN1jWsdjsKHM40Xn+NLoDeKhRdrxw4txOilbMWeQDbkp1n3NuYuup6k2jU1dgtpp+9Sq4Wf
w7DYZToyFzDY7ake2zcdQIq32qO5S+nbBEWoPmuTeE5N/X1k3ee1OPsrnN9RTyxDRciSksZVxwe5
M0o+j6znPhBt8yb11AWgpEoIwHy8Mtr8aQU0slFTsDecU1T2fQDOk4Q4iEV0vADnpdlPI9PmnZR8
lRUddV80/FBKSpMZdvTKR+BrEM6pSLrOD1v+FfUAA57aQsIXGt1uiI3qmFLpYbJHFyMbyd9m1nVy
hj7YXpnCXiN8biB6wdj0kQtfQZ2bfcARbL1GVX51l3wMGPBwTaLVZiDT8OtPphEMDb8QxNSMlnD0
mnUuUkK1qf6q8udSNtWxMVtO6iEz4ikDfUIdGn2EuabzPbgvrkAiSplVe51ISQTFH7O3esch+3FE
jUxm7kuI+4n0FkSutZav+5okPAxCfHtmx5tOtjqhBHi53SRJsyAftahUa8V9oC8mSzXDwVa4LxMC
Zw+jC8wmYV/HhF8qSsELIgB193o6dH4VFTTi3d4Ixnq7i3r+rXDVQ9Lp0JCrzgiYWaeeDOXM18SN
BWm9ZqZqP3A//5zdjI4/xPldPiXvmAG59iv/RwbYjBxOK7HjOB1M94rXgI2CGM7gy1D1ehEcjry2
a99u17uICHccUTsCS+TzRjG3DKMuLn2DXgwyaX4WeOR4yLmrkehwjODudEAX7qrtWYiafnnNY/5X
Ouk7rRau/0wjHrlY8jDwdTHCeiGcuA+mhudEqSk8T+QjXGKUph5G+zeoiNhEFFeYEQ34Kp7G25dB
tuOItJZ/WmfFe0H2ThAK1Zxzo7MhNnLTAtAMzwsa4eeiS2vPgGJP9wHrudnX9X4tDCNoM4bH0Bn5
SsXI7xDF0A87jGgo5/V7swkTkiBWI8ioFjwUwBCCGU+gNOcuIwHCIw0luzgGD6opWAhInc5RKUZ5
wOD1J+i85DrG9sPt8TIZax6FPhjBjHoBHhahEwxKqBgLLrfFNPAcxaI8zEjTglHfHsPMqbzbtdXw
2ZOcWt6D9N2WEG4BrOwutEa+m9tdvuLC31cYbw6oQTnkFbm7p9GV+5PG7Xy7AbY7nEf8mkDHOeDA
dz135Pm2Vnc93i5zPzBO6FtuIywD2L1SPfwO/0o72jEfddV4r3LQtWOIS4sedvKOHo9LoGc/me6B
6TB5egi3gwxr9q4HZi48M1Uv7xUDvgd7tg/OlL5rUUIWmprK+zAzMhISeSKGVTBvtnlOYVjo9wuj
0b2S3GRlYZb3GvgA8MwsXwx/OKGyOOg0AJLZIjov7xDKzfwwfRo9qzNhGzJM89vW7oAzdO1pwpjp
qxIX9ZwUgiAj0hW1HDSEQm5B4cul0xTkDVix19h0ncOqU93XPYsJnYDRIwgJu9nIrzAN2xhJYWAn
/ZM/SOL8Y20y3NkIbg/tmMiR84/2ws+On+yWW6K1rSsNMdKhQs3Z2ciu2XYwzS3NjFUVlYGXVTkA
yEaU97O05odBZT9Rz/LVEF/KYJavWFKq+FnBjwTI5TJoh85PKm7na47NErjpZlWuhU8GKk1fVk1+
cMLmJ+G/O1UMNBK24L8oYT2hDZHs9bb9oC6xg3IDKXAI/FxsaIUMxoI2DQ9kqqbb0Tk6L8mMW1AD
6EjuKKkAgZFNpLiUf1Ad8vVbZuc0GyQnAhmggGImt65t+m6k1YyiIIWqzWH9xY6yHGf2VKcX6HkD
oxXBJTRFCEyCEQ5T2lQAho+rpH+KYR1ysEdTiMOixRufeguDqQBoPO49VNA1kyVwcqT2Dt+1vqp+
kA32YSVgZ2EoztlPGB/aSt6Ftq6k/FE2HvuyrfZukc1uDVatIWw3bXnmU+gKfsRW5BsABy8utE5t
n5vl1D1khGwqgPhWVxz7Ze21t4XgZC/Gi5/fhxySmUC26Ga8Zsma5MEepYF4h0QY7bkcOD7ESr78
887w1vf9m3ONhRrOlFIJSSd8syX9SaoGws9YraolmjBZEJeu8U9SOR2WIOdlaMHZ2iQbcuDnTv/n
7/t3HliFvREqBP1ojLt/AIf+9L4uCdBQQ+rhqE+3xY5n0EyyH+UEmGKus5///N3+TpC3vZuSNOct
/f+xdx5Lkhtp1n2VsdmjDHDo32w2oSMyUkXq2sBSFbRwaPjTz0Gwi6yqnp9s7rnppnUzM0MAjk/c
e65Phskvg3k1hJpFmEcHFpkLZK4E/BR/Cz59/bf39U8T8BdNAHioPzXorT6z1+G1/vyxA/jtZ753
ADa5Nz5qOxLqaQPOZf73DsCmOWDfg4bpF02n6X/h0qU7gN5AiwDn6g9NJ5mJFvpQnexDAQ2QcMa/
s9rxf2VuzI5XRoyWbmCnBs31yyWUJtREhvLlbnKm6JmIlaJaOZVJFMtIphL06ppY6EpON1kpmM7R
uVOBuzB9A73aYLgrqDlNZTwHMZvLRVGkLJx9ffgcW4cx0FxweQFTK+ZgN4WnEXPbZV8treZWRH+2
KUK/2U6mHq7r0XdYYVhuvAuoye6SlgfeiEHlKktsRFce8+qdK5vAWgZJXh8cQ08pCXi4a6w6EW8D
z2B7VV+Mksegk5s4r0Y72Q68OAbltVPtXRUH+1Kr21Phh9YBh9/XxJXac5zlPH9kgUhSjsUWMXm4
ruYGpSIF7xohDfbYsbntEWDYGiHeRcA7NSJxy72eblg5RSSbmxqSHbZheph+q2ozZr7gQ8oqdFon
CBlqIyT4Iqn461Evbh1znN387WVbUgh0giLD8Ig/6C6NAJ0Muc13g1TGceQhgIAAuQEUk/k/8iMY
gqPlVc8oLMVSGe1I0lj4lQJ7P9s5FrMHDQnIV2lT+7lleTcmmnohhVlfVWZEGIBXdQz/KeoYdyy5
BO/Zb6wDl6CYNHDmlyAZ5PGrfWaBW1e5+rWZatqG5BYitho/e0RPaj0ao0lNNFf+bAPMjYNDBH9b
KwH/5t/wEN/ojqV2gaUdWmuSr6WFPaCCp7SI4oCoa7PK1gNl4E022LvAU96CcbG8nvqofrZS795p
4hKGNN5vo5mQzAepu1ZsUHe+dLx1nXkPGas6iTNseAgtVpNWjneUEqUh1NEPundNl3WxdKVu3rbw
ea4IakBkwoh6pDmJpFpDXL8zAUGtzZq4HEiK5qnJWiJYvICsSDNylsEsTkviPl5Fmdaj6Rmlv62l
iTskrAyDAoGRXML2cNF6pGRcCWPsLkKcS3AesM0/uNYQX1i5o3+1eOOrhijKZY7MNWY2nJblxvDq
oMZVOukXwyTtdl8mOml2NpKnb1phK23r1ejbvk2+O1xmgjRzADeUqhmmCbKmshAPVGLcnR8p/xz0
f3HQw6z40x0+vsy2jt/b/yq//RcU3C5/+znV5bef/37oO194HDvo9b3fpj5/LPRdNPnGTJLRTfO3
c//3sY/pfcHF7c+Le6JwcdVTXHxX8ntfII+Ygv/Tsd2/G+oyPz5+qo5oy+2ZK2rDNGAuNb/zH6uj
ibmxgX9U36XjHDf1jfjR63EK9onnrYqh2CGiO5Dkt+ZGejZSTjaz+Ys6aR6l/dtLoDojppb3jIrh
l8V9ac/CUS/Ud2U96VeB9Tz51bHp03WRk83IwFpndbHygRMiXQ8uqypMti7IpPUgXixmCyqiodOI
a1XaIi6hbKANrVzjSs4cKMvuF5TTK61HI6hX7xaWwrik+y7g1KVfE2YB8z9OFvna8fTQqJKRK0Qt
bT3Z/s4q2RyRgOAcaXGLaaH0lmJZqxvTXOkpKU5m8Th5MBW5JnbglRYwFReE8V6EHTPwOFG3VttU
wHGYyXhkb9sJxXtrNusmPWIquuXk6dhnzkIzv711/BfD1NaoQ1/xXDKdSsiBQHBO4Ucaow81OwIM
nq16BsWov06jRt6bHOp12uQARqqvPK/0LaPwm7BxgYMVbwpQSJukSwlRcusoXsYAeQNyc/Gej5a+
TROyJSZ9eC+scBU6XXPE6YBqTocF6TT8MbWJWfSEeRL+M0r+j3KiZoCb9UNp/28h2tvPkqCon2Ki
/vUz3wVC+pe5RvPxTgqoqD95g+wveNmBJLtA22aDDrfSd4kQ5873E0T/wlrMovGdgXIzp+FvlI2c
Pb/evnMlyy/THcRJqLTnzuTHPkeUbNhLL9uZXvgypNG4aJu0RAutP5NDeFfjvyv0Tj57ufFMYhnk
L3cCGt8fkOh7a6VJsTfhFoCW9aGDskHd+12asWbVUaxqEk9u79ffJtA1qzJyGXN4jX7Uwqz6Sj2r
nzSBwUDxpF1BPFLLyovjTaAV8AJC90RV6t0MKqbUafOLYogHflvHDTBIieNBYFYdrPqgt/VS9vn1
1AiiAFoLRFA27uvGVbd2E9gr+DjuEnRndy9iP2WTPQb7KIY2bWnG7aBMhKlt+ORYORlxA3caqPzo
stVjA9sPrwm6VnzD6Lpeo3+VN57prq04e+wwFHYm2YCTdGxGIv0rIlwmvmY/rGpcfm8xxelFOliK
claVM0nW2dpYwvFN1AjIi2lepWXjmjrvo03A6Fsde0mI+eRIud2r6CdsxS10PD/NwTmS6ZgoQrVV
W7B4c+EVMCc85bLZtBifVKldB/Nqu9PkuKtMH56WWxonHyzlc4uk6okqcpOjhKDQzE8pzDLU9oiW
FomHzHUZgJap2bcNQPbgQkqyU547Vca3qUkWldloLcu8AlxMFbKBZ9IQ3NHK2hfovJW70HKbVKDW
kcwIqviqLrPhOfAFIG0Szh/H3ExRiJbdwISGzJioB8nbDMx8ZZd5t+4AggmKP+rVTPT2rjW96sWN
EyBa7H+zxyItmHOTYrDVyZWAoqlQlSgjIw8o1Kv66ErhrZBOkscR+6IjtbeDU9SIqqAzCEixxSVT
HKSmqIelVzAairOUJEmjJFacJwLRQfSOG0Hwy1dXkJG0QlVFXJeIiaEiD+jOM4N8PeZxeQfywriC
ngPwjmXrEfhF8rWqAvKY4CITikuwk7HJE3AXTOJA9Nk9k9425dHXhRgMiI/g+2NPvTNJlIHgj6xr
VUuCuahuM+hfk/5Wd66510yzQ6lMIbML65J/By3IDR8gMNlxIjqKssC47wnyOTAKI9iIbOZupRfh
dAP5NXu0seikO7vpefNyCqcTeiZe4yxwP5GmW140PLXTpYnehQi0jF9I8xFJghkIBp56Iu3HNq9e
Iu6/bYwjEfc/PtVVMMakKrkRKceVUcRXaISbj1iqHk+ZWX2SDDXeBF1ZXZ9fWRIklbfpO4Nfnwnh
3oaz0iHGpAtVKoi8W2vkGrTmEGDMXVj+cFHdN4k1LInNdmg+5zfemvl0mjq7fXBxQ3zLsjmX0u45
RFaeWU5r3W96cpGs5Ov5SqPB5K+p0Ceb1EA+dBGPYHHx3JfXQ+VHRHKECQn1SmaPlj+IJ7C2cUlg
suXe4gS39mUajCeggyVTVBonwbrW2lU4BTddZxUHJu5zUhqT0w3hX+1H60Yx5AZMabCvpwvAqeLE
ft87DVLL1xFXJHZ03w6++oKmFld7FNNzEnUPlIy/6BKrsMnCSLsrlQSkgwjpDju7vyUqwl+fv618
IA45DieSuJo0KNolIhlvWVLeMSq27KMhGyiYrCLYwzshv74bpnDpZuiREGnAkvWwlBGnuhSyjNGB
q6umiK56pgCd1tz3ktie3i6/FrGHzxIgre9dira71ofwBjws3X4b7fKk/mYP/oWPEnHRgtkthHvC
Grkx+2iL9v0xrBskCDhZjg5ZKfigbEoabSGqidgeUZSnludYtxBmiQ87NpyTVSUPjZEYVw4S5lVq
eOHKcSvUHG5hwXGbrmIib4cRO0VQHszCnRm22nhtjCLZeCUGFYQgTrR1ynSO+sIDObEHWbhk8+z6
nka29VIZrbTa+CjCcdlL8SkJjrmAtFddJKpr1oXIjb0p7PfaaHcEHt4SnYhHru/M61kT96KF4rnR
vHecPSAsiibfZLg0sSuSGajlOL+SRmUwA9FNUWk55R3CTGvJjER95L29JIgdgQTO8U3VjncFvHG4
yenWTNDc2rbiC44dYzNKgH4Jns0jCSQPqMwE6yW5T8cp3+ueMHcDh/BK9zoAnAV2RTwIkASAehHC
+yLB+s80O/04pbp7qLnwt6gZMHj1wYtu5KQ4wCYDWP3NnKpTFXvuZywYyViD1L+6jga6J03vUTMm
r+AaTJKC+mYBDcVb4jIn2qTx24MFO0cueqU4D8yeFIZEmQimyHkAybeiOb+TefNBXlmw1gtvuhqj
eqjWZtjHJIu3AiFroRDBol0pjqXhXGWc+bdcVoBenMC4MUGR0ARg7lvm3YwoK9JqZTUahgxDVJ+N
zY6ETdV+ApsJKrR67ZhcraTX+KvE6J/1gCWYXvK0JzjF3oJbftct/QX5xFafZPAwGNW0QGfVIxUa
UvJVbe2ytjDOTwXcY25DJgJF+EyMHKkHjblqIYYeWcSGa4oE7wMUV39y7dh4SGnpqSEY8S0by5kO
QxtQZPcCMvESFNRDQrbewoId/9kwfPlsGZAfiPAlLyZsghXSDii3jjVs8FIchjA318zV9SuX9J1b
rOMjk3hJZWVqNoKX2ruq+mr4WuhT9nUQhnnlwAJa2lRYC0LP1ApNHwn2eRt37jIqbLkM0tzzF86Y
hMd+BI5zaERgoGdpEAciXOk2XihznVsiJENz1K4do8ZxZopR8iXCXAnqUCM6IumOrl1bXDEFS4hS
gkQlSgLdEISC8qpEdHCAqsd4Sdo5e3EZPPoybk8DSYbJWjWygCDtF9pVG3r2nkoh3Rp6KdfxSIQy
k6GSsKd6/FaweLzG7tg+DHU87KBnyCcHceIi4yxchcqPloM7sNyxKvBTrtqnOVUY4H7toJccYJUh
5K4M7GZZYZZCPjkFm5J5Gy8rk/hBsze3oUtq6mC4Th1Nv6yDoma1QYCZFAw8OwTeS2qGy7FMNpam
bQmrA2jjqZekrlEeEj2UsdiUNeO41FjEETil3NLxcdSptVWluhzjiC1EOWfidUzLsFr2Nyqlxkt7
fL0lvsrraZDZnUwaApWYt72wELxC7tB8Di7kEulM7cavnHCDLKtCBwYhra5jQj5rgLiMGsSi93Qk
93Z5Xbhjh9sEt1OjD/YjtNztOIzhqjHV3UTK69UYC7b3HqKkqTC2oKiACRn1Go1o+CkRepstj7xe
lkSoxQmdqj6Oh7g3GnymTbBn63yMQ4n+3CZUDGnTHsf0eBEkpHi2q0SLgEThKDv5KaerceF27Df7
dTLnS1fbNB+S8NZ0EskormuGcMEbtrCv+5oW8kjADgbuy9fDiThCnPnjnvRNRx1tSpUUvmGe2uup
SfrV6FWIiW3iKRM4RH3XlSu89EiiwazNMOiUaakFkzsoxY6n4dOYW7ea7vebvPC7ZWh1w13gKox4
k8K7mNgls2zbumxt9Sxxjq1V5ZxiH9Bqolomtn4hVhkInmuiF+y3BhTsMhGFejMao70cclfbxEb/
CeRSrAdb4NDvezDvnmsdQMgMnH5Rc+MPmTgOriNPIaXKWgSduSIS4ivmEojUrB1fhxawbazVFtoM
gCG5FjuLMME1kRKRsiQEfgTj6cHDDiCDjS0MI4Jz7n0NEBXQvAtlUmhnWfLhCkbFlsyhshnpMist
MmIE0pI29g9TqJxinRhz0R9OdfumW0P7gdEpOQ5DAZIAM9vOdGJ7j3rjTu87H00atQzpAn2b7pUK
WGkpnKhHK64BW2W5espweV42Uf5OA4q2sRTw75g5oDOBC1VCI43eZZ7z1Ndk/uHiouDMCtp20xVx
v6kNRJOUL85aoPg8Ec+qltRAJ5O00GskAGEDezozD2xZgG5NmNLHrhgesXh0FyDwiqPKQAqzWWyz
67SQ2LuUZ0ZvCJx1jNhJPG5yI+JRoPuzbofWENfEQLrjB8MnDg4iMQ2Uz6H3hK6nelFmzgAFOwVK
YEiyGke+6xfLTh+K+4KinzQG5YGraktiFSFpeobaxxM6jGqgyQKOl17FjIFejJbYWUe6rD7smU1c
JwnabsEfv5YhRQkOGSJ1i9hv79nx1GGwZhFQKJOBMs9B7MJjPKj+zGXAZS+b/lvU5PnONQm3rOVQ
ATAsCDYG39VMAYlkZnNMayS4VVh7JyfX+5swaqsTuCmF7UNS3SaWBvMJC3gdEB+Q+F5w4IU90PgF
K9ePyg08Q2+fORrwjH9Gyv+RL8zEy/VnU58dq8M4/nF1aPz2I/8a+hi2xdiXSbFr2lCOMYb9rh7E
1TXnhpNBxe7uvCL8fegjxBcib13BcMYloQqN4O9DIIMJM9HcbKdN+EJ/Vz1o/zzDxWGG5xTwmCMc
nXm1debF/DAEgqeWqcQOxR1Uv4pnjsqbCa0Uw6mlynL/WFlhfYuksH4HsSXuI+zBJ4qLaVtY2oTa
KPZQ6DYjijU9yIaV5oCb9DUQa2NfvTS6zu/hckRzpvVlfJPULNBxb9nmvozGdNNZyJEqFHlHoenj
DWf0sMJ/NG2R26cnlZhq5wMgQ1erdZ+F0lS9iKzBQp4fR9djkQGwi5p2eCWEanp1zWiKqan42JZR
2NP21mmtNnTA8kBQZfXWiSh5bcNhutHSCaUkBeDLVOOSZUSdujTFqv3s69Cgf4G0H+Kouw0j55YO
JI5REDfiYZ76pH8xRj/rGP7QOZy/AseB/KPTuyMY8eb8tB++glxZFka3xrlTtenvbbOz15WYk+B8
bGfUv2wdGUmL3L8p3UocoW3y1kBXlChNUtIoVZQQB+TaKPhV1xOXYUdXorPKDwOl8lMh7eYUTQwm
SLeDt46cMEKvRidPS+1twwhJYteY5bXn1Q9tRugCEXxHAF7iXkRiiyqJUEcYoD/cJDf/7vrz3Z+G
j7xpa5ZWzJNOxqoWStmf3zTeGi9k/VyA4cyDF2P+9sOyNJ4NYY03mqvX+4682D2uO8RaEdXjItda
tWl4miBSHfW3KsUOhp1hGK/njdphKE37Lpj4J2kK8Smq0iDsQAzXUecgaoPKd2N7wSPDGLH1Y0Yl
aYF4ykkzQnDZl2wjrda2aW86q6ms27XSc67pOe3zQlfmR+F0x6EWxq6F7r7DHQRnHPfeKkZ3uB5t
ZHg6UwZSDF+yyk8OllUO7zj60Cm15vBecV7v3YmwvRpF4yKIKEirvtu08TCeuCnTK7fXuJmaNN6l
5ofOhrFeOEHt4PdD7nrh8UgGbOuNYMHPuUFuwkhMoZ8UMdMZtyjG01jwLS3aIk4uCXCSx8nLxNOE
FODTw29UoxSlV2cziUxgVK6xKaKm2fljFV9kbatfBuySbrzC6C9tKpWWlh1p5VpGKtlNNfrHJRA0
cdLidrxuIC8cTaTtm1h5CEHt+d7UUoXQc2iesFzKNz9Mw6Nl1f5SZ1J29efXzi9nFhJnmKxoA0xS
h9inibMe4ocbRkAdD8Le1TDB6eq29btiq8GEepxGGOu1iw4Z8hXXTl2qd8xTatmwy5nARE3RR1KV
41XliOBARLF8cqUFDpP4va1kHT/6syayc/IH/HtI1vraxnrZsyXP+O6PJc5Jdlqhwr4fjsgNS3Ea
ScCyFu7EW506bbq0ZtUgx9W06UkgmA9Ukh9qu2qNtd1qYg0NEBhqMvbjFTJMdXu+bKsEWSNJsdNl
LZECGhUbYzKz9WdPy5snPzGap0JTEhlsjDCCsGViA+m04rdCT7eSDCKymDHDkrjQdc7WAijirlMv
8q49XTIq+/OP/6wn/+O8mj9+xCyeq2M5EvMmYr61f/j4B4nmLVR1cBJ1hUCkNVxjMdVSu0uUzzsw
8NYiV2u0+2SKce7YZEWTCVoX0bj19JjHi8k9yFAok8HBS/vqNe2delr4lESsw406eGFsxZuZZ757
GXfa5u+/AVZ5vCzQbeTFnRNXfngDhUqb2ojYMmRQrtYkQI9XsgrDjXSCDJR0wTmDeY7zQjgcMWA8
tTUi3wo2pG5fGANQRu49xM9kLL2ao2uAAibSIhLENBCI6wX3mStz4rrwSXm/1WHv4/8LP8v/49z8
ld82f/gW6mDiEnCTC1a/v3z4eT3DPwb7VJIFhYa9aYJvXM2Bt6ubOns0VKwuk7EZrzO3L7Zt7vEO
RFGQP1zF/YE4HiSdzCT3mT3Ue/wr2n3r5KAbBgtlQ03ywTUwkPhI+zHeDDmGZZZCQ/MNTQczFT+2
3ppgABWilEeYlVTjTWcNabF10emjMbTBs8wDz7brgicRGQl2Nc07NBDE1wE6qg1m3nBTZdH4UjuF
2tZDH1B7R/Xs0i28ZQvX4NNAAFIvRG4h2GgqYayVWUFdLdM3g/k5dqsCmVBaVfvMYuJVuNzq1ATj
zfnWC4DQfdTEWvdrJ+V/7JifHdRYixPtE6PyPEFaytgo+tDJBt8kGBVeuPL6T2DD8wkyfzSJGxy6
uFCXFpvpeGGRhMMcrSasQeTpvV4Jxa4YAf+zmyfvZpnDwAyjkaxb0SzreTCoWbSJ0cg4w2Yge4U4
i2fJn1/EFIk/PUG5DRGWUTPAebfP5eAvZQNnNRLqtJcnuvIWrKbODbY4n80ZDuMtGewRlrJ5QwHR
M9xQilWvjmgVayDOpHWYN3ugFC7CmCQ7yJgRHbw/PU6XvZbEOfzfYtNKJlcL7iT9bRr07IHjv30T
NPufXexa2gqTS+6umsgrQfFSjl32RWuvc7JmuQ6guWUomYgU3GQGuFKgeXm38+icVqDa3P1o5Q/M
2wlPx6gJBkoT8RZlkHbLJGQaVg1ZiR/S5rHC9RWt6hIfA+7aZmtx1+5cYmgoOefvtRri9qkZ2Xpo
KUuVUcRq7ZvTk1FViIBKOLO8HjL/GDkUW0RjXKyJaKyl43nuu+la+aqGdnIojUTfKT+bNEYOSm4V
Y6PyUoyB5S/hR0ePPAfix0YDw7RQ1WAiQYrz5KlhxcCWI5VOuIuoW0Z04JwGiyaqog/Nd42T1g9z
gVOP5UEnVnWrNbmzqmkMgSVGWADYv6CYbrqUIy8rGz6oZqj556DtuA2mSKhg6TmNBZ0RlfZ9CKJs
H2BHtNiEJeZbZAbE74SGU6UXWtvO5Y8/3YZtXGprxSzmLc9KztVWkhAxb7v0pVYgSgvtIT1MXAiM
/wcWYZpFcObSRuvxbJQq9rieOnWbFMhHFoabjKea2nKH55dE8aZR6ptwUm/vdUpbI7RJER8z2IXf
WqthjYIcFhsyb9BiNZ0tSiquwlhSZS7GsF61KLtpZKtAX8Wmyr7hfzjROs8BzJStwWJIAUZnQ5pf
uW4OcjF3hyUPA6YYDSHVt+cb6R+x1P1Uff7Pf79+5HHxXfj0Y5sqeAT+qVrqOorL/+MH/hAz2Abn
D3Yz1z7nuP7e13p0vDxcDdtFAHuWxf7e15L76rs8NlFHubSc/vz4+i5u8L6YKKpohU3h8ONIIP6G
usGYxQs/FCmWS4KRR3niGlAdscYh3fixSAkGjSFiYdv7HtZDsBKJSjkoq+BgW6jazcmmrqKX2FQg
NDbGMFKKZG314pMU8GAXrKEtEBpPulk0T+Goi7+ooX7uuu351Qlaa7KggcSioGIo8OOr8ztkgwa4
8H3SW+WrHfGgknpUHAt75E7hMJ6IgMIt11Ql9/mfPzlMMdcIP3423pxIaOCddSDO4k/8pfcKIkLt
nS6We8wIz7kMTKbjXexfpn5dOiiHbfcodMDDfEwQqEbLjx+MpI6/jqpQH27XgKqq1GQesIE3a7bK
2bY9Q61qWTq37hl1Nc7Uq2DmXxmVWeH8rziu6nnrNea+sbT6Jr+OBEqRpWv0xlL3pAQaZ7jwrzvF
xgOICspQk/Hcok8cASuASPmySSIoGV554c60LrQG3SkqmmJTnmFeGvIBhAHSZyToz7wv6GH6k1bX
2tpL3fuOGCISfCFH4KF2quKqtsZwrUUag1bsBP1u0vJgmWpqthjOoDEFcoCQH9ILl5jXAWfMSLLi
TCfDnWMc7SEJVlSu7ZM3BAwpYh2e/0I/8834Apx5CTBthohw0NEnVEOzxIBxxxHy5LP1utWbODZW
wET1l6zUEckUtL0rMNv+eujMOt705ojKK+ZWOkEFC3H1nblsGELae6A40bpoXYoxxIhASgpRtKeR
dpBYVXMg5I9Fo87cNMVVUARtCnCPUDNDW1uA/S+KsdYHnvGgHvC4w3iEhQdSrko0a2ezmtUw2ICm
GGz72U0mbx3ZTnGTFqQdNKEU9aKzGX1aZ2xdqEOswTlYb+p2sG8m3ORbdSbdRYL9lx5vUM72VEKG
v3eEm5+UAOa5QI9HrtRMzkM17L5Gblvt1MzV87MKwh4aALVpBc0WBigcrsh8MP8s+5nP582kPoxF
44FxSvBoJoK6YogGHPKuHX1ag95fG2faX1y4+ScROilzW4VIW9oxOAhA+bAxpzMw0DnDA7n37qJQ
S8yrLo07jEMEKhEjAjYwHiv83Ni0l4EZyHCZjEFhLLyqxRCS0OshHK6TrQCm8ZGmfW4sYD3kdD1V
gYHxspF+Hb/2MejGnV/0FpwPNlQH1SmTDAUz6Z8dcIoky9iifFWa2XZ4n7qx5q6QWvteBF2SrWof
LePSaUviptquLrR1GXjTJeSMgph4HRDiuus1Fd9N6CKm3cTWu1vim6MFKYs6D1dUE2GFgHmooVug
Si7AkdhFDc4kpeShduVR0BbHOhriaoUepXxtSqQoRj2BaNZGvdxPaZOeDLgvHIYR75/dX3HNPp0Q
7a6kd9WEz1+jA8F6GAX2HSB8Y1gzeQqY3fVW89TGTgIDIO559SOMoJ0sR7WLy4EhYWCXL0MPWJlp
DrbPFUl8prdu9G7UFp0+dm96Unf6JdHxtn5FhKrZLSvGO681wjN7dXakno9yGCt8TuA4xJrMNs7R
FA3VvClTj7QdyD2WKU6CtAFHKoJMrXgSGNOr3XW1Xh08Qgz4rzRE6sp1NBkhYRklNJf+GSVBFmP0
BPb72k1tzqVTq+ainCEs0Bp4xWCyYLMMXRsnKMvqimGCyK6nM8cFZzb2XzQP4y00THFtnZkvDHNA
JJ1JMEQBQIXxZkAMvmVYMXgy4cbkWg1DZjjzZMSMlimwgPRXlpyJMyjXgm5VzCAajfgdqLxnPg2+
4JmseubWdGeGTTTjbMoZbBOdGTdELpYAgfR5vIl/Lx2a8o391wNrJ2ff+35ib40WqVh35udoBK32
WwYJcHWMM2NHzLgdawbvGGBpLyOzB46oaVNxjGZEj0i7cdYJdfY7LGxn1sQZ0YYQv3UiYLmyo7TH
o5Ul5QUspAjE6swCaqWX7UfmL/bam2FB5hkbJATqMi4g7T49c4XUjBhifwRtyDiTh5wzhag7E4mm
M50IM/TE6XemFnGOh0t7RiKShEDJOmMS/ykc/5OVCNrVuV75/6PyLmOgCk3Zvv5UPf72U9+rR/+L
RRXiwviiFHSg4f9ePfouq4/ZxeQ5+veFCduGNvqf/7b8LyblIRtIqiYfaxWFy7+qR8v8guretGcJ
/wy5c+2/VT0yTfm5RqKvdlmxsN5lvGig1/1FXm9GqZ+3VqGDhdbwmnRL6iltBcU62MWtMcJytCAt
gQzqq3oDkdkw1w7+2c+RFCnwVpyPi6qbmksk+WjQFpJa82lUmYXrxkfwuBoa4y30RPiQUyotweTa
T71ltZdSx2WlBp+slbhkMYPRRXMvQzbhqIwc7JxbAr9T5shJcUFbhol5tG+zujXftMEKpgu9kbhj
WCm1xz7xreLBTMEqHxsllQ4PxhlYMFrkeX0kamIoLBr20c7cnCeYw6dmgPJGIrNZ6+Yycs3uZUjs
gblC1+faZWrGDHgkApeK6AwMXiHcKapEhF7grrOAMjGCahlGQ6GWNdRZZ08R2ny4NO93DhrXfQOb
bSvG5COT/rQmCRVlmi45NXtqji22mvspNdMbcoKCZMe/Yl5OLo/iVTuaMZ5Ws60XCHnMdWtoryPj
nYWnJ/kwC341zNK+uZbkfqP78hDFKSQmNu5ZrTlBcbMve98e10bbuca+gyFWXrTKDx5V7rl3lWsH
95DHocXWQWtqiLwqO7vIGquRS7cOkud+qKO1Zgp3mTquy2cA7UZ26Pkc4DMXbeXyWZIfyqwN/hny
h2kaLtoOSQzG6Iro3dhRJ1mEeHa3QcgUKzUcsjRrMnNFO+ymZFAFWgOsU2T4SqRuUxDgYcjFc6UI
ZqDo1dS9T4CetWB/NYu5NN3LiKsAx/EQMqJ1ddwQlhi1Nfxsv2m2AkitzoQntCl48iRDzvQaNqoO
+eYyxAx2hs6QKYiQlXWl7GBYj3pQrB2/MPZxr04euSZrP4LclKblkMzqzTkvB3JZ5PhYgbsWBFxG
ycL22hbDOlNBvyT9GRa85t6no73KbbEPu/rSnjweWPCv3Ljk8aUkCYLpFjtHcHDTYoOtu3nQtOh2
pGdckOQSbkI1orjrpxdDH9jfuXGwCfrpTs+SZi9rvBTKkclR5hoUHdtKSWeVpB9pBWyexsCioUUM
ya0xPljoxjYD06kLLZvUXpfcmsLJxIM/ia9F61lLaYTuIolabWm1Sb+hBG/bg20C8wLp9FbDej3U
sRVeSIckVkV9umYOui2RQjYWHjwL/G+aanIV51qxDKUGYJB1JpDhKPpEbPrsjgjD/aCsFo7UUe9a
dYrOzvIGYhzwxNHvFcQ+TFQMibprY8hEBqqmRS9sHrN1Ytzw6pOLhPVlTaADTC8GNN1nlVUTjYLJ
h8PNtkPbsUpRUSI7U+0ORsW+GGyU2tkp9eKjMoKtTwGF2kXdx067LfUGSlM4nEAM7At0dqC+sHIn
fPohvY7XWw+NlFtvGi8ToUE9tjvYzVUGHCFQhAEF1iMTMpLIIPqvjDz7zCydeW0xOKski7q7WCvA
WBnG0m/hY8jW5hCMvUurYpyV5OO4QPHCjtUT1q3eRcU6ZzcAOaYfuLYqeNR8H85WNAT3anQmO6/O
3pU70RYL3T84HJfEF5nBYgzMhJzlNtl1iEVW3BXzulbe9kmz1jzelCqLq9Gzkle0LeYy7QIXQw/w
r/9l78x2I0e2K/or/gFeMIIzYPghmXMqNQ8lvRCSqsR5nuPrvajutrvU99a9BvxiwC/dKFQpqWQy
I+Kcs/fap6qS5m0sa1LkKnSZfGDNtmJKQYpg9E3XWgyYcvqIOqhyDJ/BSMaMbGzhgm/XAu/Ykx23
wcTq3TDbgzGgbO+QJg6I+OZmHDp9yzLhnspEw3vQpnb3xLrSryUBWcOqMrrkknpl8OsuxWnKB7VF
LddfclSJbo1p8s7NpN+qRuvWZpI/t6EkYdjrr2DcbYuFPjIlFRr4or1tQaZzh2gU9nqyTYzU4Ncr
zdfIjC+R7rM71AFMC+Ht4qS7J6sEnDIq5rsxHc/YLht/El3y4GjJgxUSoYU98rVV3jc7lAfZWwuU
ua+2eZahKJTjlp7kobSTHbnWUMST2sQqGdY7KDDvBfzWjcWReK938p5sQfRzmCNx3EYZGMt6JBJQ
GLc95rCsjR7tVCqGP2qDgpODa1ttgOkt1Unr46T202UtrTT32m2NXRvTeZz46FDFEKzms4y6Lyn8
hG8ZBfaaeF6+aho6aOkMZ2ceNkOdHh1XdluLKugEF95d1UMVI5b0yshP58zdZVOvDlHZ7bsKYHsc
pHQvdJgtqBZWEOC2bGaZrwKC79zR9HKo6r35bgJSZMEuNfdyVrp5EzGdoEHQ1Oesj0H4j0O5YfwR
vVWTDY5N9hdTDF+vGLMHYZJnEJRnb0BNi5jH28imuxvm9rKOnfx9mIq9587foAUi1uP92FNappyx
nfg0zEsVlostow0XWA4K4svJMjOErUFdrQEIipMVW+EWHS9SwT40noOyRzKkC2wXuKQh+LlUfPhe
jeI61IaWJkqDLbZjX6tiXIJzSSadEAIbd1/1FzIsAj+WxMV5SwRbYGgP9EeW7ZksitIGvOtal6Pu
yEeNWNUrPayGaW3OmRlSFJHIeVskGgCDNlXHaTAeTHpvb2RGaCGG8KJPt5YzGtAUMjE2K2bk87Bn
nwX203nvuTZciwhmUoeY7RY++jUSfc2vU+0mn6P+Kp3ip7YxgJ5Odnmslf2Eyi27n+L0KDWgJoK3
t5ZFRqQZ3cD9SNTJa0LYAGK+oDmAhpebpES2bmd2vHLdKvVzqhs/bodnj4yXTaHj8wuHMX3E4kzS
+tC6H3ZvhWvaARLxn5G9lq4z3zkEW5KQ5D4bKYnauZs7jw6u9LUW2JAQnSi5L8JCX02j3u6QlucI
kckBn8zlS8QHBmVkMohmI/qS7zW/HhL6HMPg96pJ32Zdc249GgVPRjvgcOijy0xPrfU8sGU7SSXI
EiErDRprhWC30pvsRCserhQeBc4IRXhGZrfv0iD1NcupNn3vlbdujrCd5TbqbwCBuHvl2PWTprx9
Sebk/QA5Z7sk1ULwUml8gf/7O8Hh76zOGYxd20OeGvQPMR0Xm9S9XeU189oatXhD0CobROzZa1J3
AIVYUi9IuUjkZUGEp19Kq75gcs1wpGvni9wcvT3TnmlNusx7FuaCkXUWi+uqGsQdC2SLixuipbuy
O1pmsPHDdgvtL2XzarXiGUA15kx7trYZZ8FHfWwMAofxZwIPMGfjDs2DeCsyy34DSRqtatWFHkIL
ilNIsxvVc8/lYgNR2J84AA9Hh9HFKu71dWEAbaRQWTCKBOIGx8jL1jknDz9yY8ynMIlFPkanph+d
bZoP4Z1Ho6YRZw5afl4Mj42naGyN38mjt3d15ah13lXY2AgiPgRFKVdqsjz6afqOT+1oJYtuPR6Q
HZTIGCezfxkwruEcQH5VVGhKrIwZSBPU7H9puY/MgszHoOpWlSvw6nXSXEVNMhwLfdwEjXGZRInx
ENOt29HVdU9xlJcn7Aa5nzre3ayg6Q51c4uPyNzp4q0n4GFLRGa5SfLgQYRNvspquQ40ExxkVFXr
1mpW7pCQdWfPxYYUhT09BZKRm6nFcSGFX2oQemKahW4GyLhsYmK8XBvpfj2sXJVGL6PXXdgc8Le6
yy3OvephKoty4+iwaKw4P41kI6Ljd/M1pQpkhI5x6Sp0KvbErDyQCnBLcIK5s0PjPSv6h7KarSvN
RuiBL4bjsjVvpxG3SFN164qp1cqoANcyX0OHqjT5SB+CnkKWM13s2twHWMxWN8PETEQD/rnMCCpi
VLgC2FNepLlC61FN27LlTBeXQfw9bcRaTDgIVcxTPmX2irAswKiTGzyQ7XxRR71J75hQ9r4uPjj8
gqqLWlBIqoTyj3x5MoerKWqjrWIy9gDdn/g0s0deYBbeBlFMwaHbtVYzo8RzGrK4zIy6tp5u1Ze2
G7zpbROuvXSyd9GYTjf1jDKZ0DHhz5nDqUdU3pVeJZekGvaX9B2JTKhHX7UNuTqmPl9KIhA04Da+
sktGq8Mw4C1xxgvMi99L6o1MaM9oYl7Dyt6RPdVfUObO3IyUHFt1CBBkYO3Udln0obk1sz8b0yZe
kWpfp811HS+t44jlMcIvQkK3vq0qyltCwQw058NOlpZYGUlycoXBBpoQwpC6D5YTIZeI1evk9O9B
H76VZcrzUxo3fXd2yuChHMjOopwKXzSN+XlvZgfsXNBPDedCee43t8KX5XnlLmVzXMnQJWQ5QDyu
FbpAZ1TdJCOnM61NsDv0qqX1hzL4Mg1KetxKu+7tenBXaT4ptgSsA2RPDCwNulZF29l120PDE/yC
zumHsdgDjYCOWmRIwhmwaS68CyunRZ/k5YaOfX7JloXsfyqNjANe2TgwF5viZqRbvR803BV6Yqe7
JEaFS6Oy0SO/TBktyVEs6LTBosip6oexp+sF2XY4cKpOge9Gxc70CnNbzSo8jXpvbxtscbQaQwKc
vCvP7ZPrItbEhxW3/UlFsX2sDLfZywyUIxSVeUuSW3NvFmSMu418pYZPzsBoKfBDHW56CP6iLcML
FCsMfMgxOAv4Hhs0HEB4y8ldJwPV0sBcHyM+dt2GdPYAw/luKAxzHU4aRRWo+RWQhXBNb0NbFQSY
IcN3fbtKjA3I+gCPSWcznJ/f3Lz3Vrl0Xp0w445xqD0XfVbsm2Q+WM2g4MESW5uTyFu2ES751Hth
2Bhj8iGghFR2Il0qq+AY1Cighbx8640+zW+fqDeOe1T9W1MmBZ0B6ZeYMbfovbMD58YDcdCJDwl+
2LJcWRtWc1J1iF3bZClGqai6ophyb0m5NXeUwnRcjCl5HlKmRksAMwhMM1rs9lQLJJh4J+ZLYJnS
xFzLwLFWfQrrdaD8KDGknBxSjQheyeJ9m5rCbxpIL2nX6qcurbsj+TQftSL6yENWtNQWUsWXuFeD
zaTCHDEsH2PJ6Bybr9wQaoTplwCWFR3jbp3WrnbC3QiMG+1jWubn0HYeyWRoQZmL2p8W70Q7TdtC
6LtwpN+RkTvjV1Y0b5lh8FJuD4o57n6osrqxy+48V7jnmjlYq9AAFVhTZ0mjIPKe+OyR1AN64rRr
jNbXo4lVmUDSfVRmKHPSyuLQgoOJb6oPahyzSt+xRlqiWXMAfBuc5C1m3Oea9fXUldMBjRfRJ3V9
Yol+BAda4G+eNpRaPMlidnByozXh20DCs+jlzp1G2iiKTdfsjENTids50UAFL/4xvKp1LYCZaiBN
n2pTo20yjqO7RRt2z9p5KzG58o7AGKb2SOXljn4IZWXdaToWh2rV0xFYiyAejxFzYgLRijc8AN5N
EiKa4zS7q0cMg/ZkqAdGptdEBHTrqRJybbT6tmsthylXk9g+B2VtbWNWwrnhJPd5EP1wRX3ZKnlK
XfsVxRyyptdO5Lu+cz+aYYZ+4cbzhgxh8pZyb10nhS8SgBYYPj8qsoFJ005folqLNrXJwKYlCSwl
E4emikuvhOA1ZnoFvYBIKI4tSfCSlMl1E7FA+23f2JNf6aZzlfeDPGqc6SukFai1xoGifKhnon96
dvKKXHU8w1W9KdqpILEJKfFY26cKW0+jW77NPJaDWJr1W7o44ZEti/xdJZyaHXqu+wutVM3ObFFf
MDQ1m0OMau/aZVXrGMeKxso5GteRu5o4kXf3mmnn7TYHJjmTKJaOjU//n1abTY0ws3zInlxc0xO1
XBXcIwsfVBMim9QZBbhoy9LJSTuwhl5Lx+K3uff/ttADjMPlK4a9f19e+J3DBetc1P3Hz39sf/sz
mr0FA/HTHxi6xt180/9o5tsfbZ/xo7+p+5Z/+a/+5b/9+Fc68QtPHNXXP+7EnwBDvrZ/bsP//iO/
t+E9828WGBuowZgAyKcR2Ax+B5sJ/RNgjEoBAA58iEWp8Ucbnl74H6INIDmejmYdN4KN0xmR2h9v
93cxI3fqt7f/d8SNtMy/dt0R9KJJYCRgGS45ul+67nXQuUSBTvYpl5x2fQkqA3KAGDHW+X2rVbCp
HPRQPUNrYuKDy7KYheUzF4Qgu1adYYq7rKx1LT+2rW00EyFPU2MScR70kAt7YwCQyZFWVZdpZKLJ
3+bNQGVy2elpTJd7ls5IhGpL2FnIl5/m9sVg1u17Go43WLWcwBdSc0iVsZ1txjwCHEbNXijVfKe5
ClWVIoAaH5MHyJSAK3olaidFwwmqmERm+UmrcwR1oJa1+4ygmPoa4X9619SB99xmyoj8pq37ZR8Z
EvIdYVoFZMx73zTDNksuMdtqM6HJjHcVHV/k6XMBhr6M3asU9Bk1koMDwyvHl3hg51DM1bdlP2MT
aCLA5ckg6auWRgSSk04GTj6VZ4eEiuDFbq36m2wNyXCtjL330nPfs2m+dPWG2EvWkPnAf4Lz0NvG
VWzF+t5D2saY1fD8CQgs/8bw6ps+KciQ1OeZJN4RM/DKrJylg9KXpMwQALlIPCy6IZrKgXr27SPS
t+AgaYPvFC2+G6+V81HzEjonc0wzexUgX9wjUIy/8zxYN0k6DMZmIMPiKsoLdzdZNoLQchIXeNGK
+0g5QBbcHqGtMh2ACSGSNtPt5BmYkHzSsHDgJ6ylcVWa4QImyjg90zs/DLFQyOCteVjHPWhOIaH7
ICFlOdXIrTMYG+8zMwG0hKpSvWhzXm3dONN2JNKrA6W9eifGwTlETIPvlD4Hl1iyyotSC/t8Zypt
vqLnZA8C5/dgdijnVn/8v0uJeonOmiVx3wAOzT+dogODm+aYVG04Fsc8aMesXDt0uRNvKxvt1uV8
j9JkGNFs0kaLAqG///9s819aUT14jL9aUS/KHpH9a/HTbFP89lN/zDbhfKEsRyfAsNJZosD+a1Fl
vWVPdnUL2ZXgLLLMUX9fVA3jbzotb4hjLiIYplSo6n9fZCUv6OEg9Ry8Drpu/M948caifPuT+otm
noH0D0ILuj2s7PKLMi6em7FnxtAcLIIOOPUnmrjVo1pheIXmWNaJ26HNRPLbak5wj/+nwYdfBBwy
4uDYLvJmh9DiCxRLxQ77M0TvQdDmcmk03rsVpw8nqqx4U+rgkEWUAG8oMIgki4FiikLwG/iZNtUi
RCcbITiXOpHAqJecAR6K0fgi1JsR4bqmmGTk9l0PtP6fGEi+7DLcgcVTh+mIKTJQ/8Xg92f1HXqm
BsUGAnLUBtO1DfFgR8YN8OauW94Xv/efHpG/s6990SJ+Xo99DRAEu6kDTODn69Ge1KeQJO7DuBDn
Oaa9EZIDuzHgHvz6Sj+7qqzlSo4hGV2jCieKzvjyzhRWJ9VGdnYYaR8heiSoEqkPEEJEwneDzMzd
HCXB7a8v+nfengMlg4QEHibsXMvf/8lOkeiyHXPSig69Hc24+3o8Ki2zdaLAJwtjx//8ahaJeAQu
QFh2FlLWn68Weu6IhivJDgwHrfSMwGkJpm3EeNUTJvDra31O+X/+rvDG+LZSdILnEl9dahPSkyhH
wnaooymDeBmR/bau63ypsIVaRXM0XfVNz/6DEn+vMkRsJE8z9fr17/HXO7y4bhwHzxynNRaVn99z
JlpnznuGkjXlJ8Es7dzCfAmCe8+u6In9+mJ/fYYsHfGuJCxwcYR+2n/+9HE2BKvR3rSTQyWUuvkM
O+g0vsFVVBGXPLcxEwOnAJTxT677994kHGThCdv2HFv/si6lYTIig6gShpeMbMDvExhg9OOIw5pQ
hF+/xy/XWgyveM09gYmCVRAD4s831CQzVgwR48+Y/DfakESYLu30+RSC43j49bWW1/rTM/R5LQvD
FD4+Rzct8eXDI7qXTCuyfg5qViPqrMDJj2S/D2L96+v8BefGe4IESegAiwyPq/z5PaHYahub+FTM
AQC/SL9horQy50KuggFrZBTHhAhPTQdERNGngNySh9H517/Dl2dnea+EabPQgUnGUfz12UGSmMZQ
UPkdmCusK8EQbmnAhecAFcOxhBCy5lw+/5P1/PMWfrnFiDh54wZ2ZqTJXz7OIbRJAwqc+BABKn6i
XM+PtmHOlxXn0V1jVGBtOq1k1D7OiA99HEzzACO/mL4LGtVYm8GSHYEsBftwqR2COOA/KtF+sxr8
4/pm+ai//J4WHwxn4wUS+ldQM0H0oyJ5fo8tzX6bYfA2KFozj48IZY7NwXgZ7tL9cBxSm8b0rA9y
XqiPQXDo09I8eZ0XHKbYNS49zW6drT1EZQJdz3OG3a8/yb8+ta7O3aS2sziR/KUS0z26JC0xGofc
08F2pKE7pcBy2m7z6+v89ZuI2JCPzHGky3+/7o2xhj0v0Nr4UMKiv/HixXBVpKW1iG+su19f6+ty
zuPp6uSFy0/PFKzsL+Xl7LZWa04JyzlUl3XoBoRoZ5y7cXyl20Au9sNpnE+in5xn2mLhjgis7p/c
WKFbyzfx58cA7RtMAOwPfNBkBP38Tc2aiiZ3LYO904/NfHAyyWLaeWSiI5ip1A3lnv72GT8RQ+Sm
FqoiMJ5xnDZMx4hOOQFICY5e38/XIBaxUrZ1UgFCzLo+Jl+FcJAsIgQkwnV3qzIj+BiI9Xl050yd
VdZMdO/rxr5zakyLMnet09DoLLhtPspbaCz2HXMgfd9hVL+ISKQGL1fF2j3pFeqGaGWjX2UIW69y
WkCvWTDrbwrd/JniHNOXNxXBB55DqzoWeZ1DxxiqYK9aYbZEa0aLQ9VpljMCtgYyFWqJXMELxDva
KeNhNIyqRtaB1Mxv8V19ZAzGRoZpkxFtWjeJzqHBN9u0WFpEM8RvfcTiXbah9REymJd+kXNsXKjm
buiPsRf2Wz2yzd1oku6yBqnTfncdxMFFUjvPbj1C2cD0xfPGtz9Mt2npcfmqgojiSmKrV3rbO88K
Rs56IuL+7Cw/2xKMdg5ny6BxHo+0MR3KwHuvNOYz+0z2iI1hvPq8vYGNc10WkX5TGXWEv0zBOD/g
kbKNo9TziNGPR1x2zUiYZNLP1Qpm16npFCuUKybtBSECTyTkPjxbWSbUHto69262XGg/ja5H92ic
zCfky5kGsE4vro1UOsU6QdZ8GsFcnu2ughlUO/Fbo3tjsQqaZg53Hi43xPvgKu6S0DAe3GJo5EqT
3NscW/cbw1m5FQ1SksSqwR3xpaF/HcQ5UM2RYES/S8H96UM9XcUz1evaMUX8ktkdSxNwxkfBvCzb
GMtzmI8lxpo+GUN/jtwuXqtJcICh76+2AJd4lpy8U8gbZ7rKAaXXjN10wEluaSBzMIK06z5avNsJ
bwBZJTo5Yt95wDY6BrvXaFzgw5PL0ws8Z7pugmgq931ExWBbpXZvR1DUV3pozudQy5Jj6mYbTxHs
SFNougLlVDMKJR02HFW5gUtv+bNWNpjnohgOW1OcCNtdsHRZvLZlq5+FUahjX5NijwA1uA87Z4M6
JH2tbQJxZq7mB4FFT1Y5uzRGGlbDGtvpcWI8uzS5V5WZ7/Ry7uAXww0iwUUhGEDfI+j0bL2pzJF8
FVnqc1flIyNiwsWL+ZgIbxtFtYG+PCqP5DuTzqsB54HD5MEc4m1lqdv4UUrgyDx0GKsXMGBnmc+N
0xrnMI+vmqkjfAg7yXqYEb2x4cCvquMHcpRyWEyVPGVWBv4ttfyqK8Yd2leARQpQRKQwpngV467Y
i27baH4DK/pagRDcJODw1rNtkkoL5+2AIPFbjfgRPo9RZf48uexqfSVfcsM8KkxaDAljVOjxuE5N
+34YghNqu/BbR/tsE5nzdIyynAXYXM5IuZwv7dgwzh2AsRuBOfWoDcTBKGVfpA4RUxBc88RpPfCh
tQzbH7WeVvtZlAkz9GDRpM+hkRwFES9iFWihc9FbGb9QmZHysBpmqR4sZRoMkrOg33SYD05ADeor
DkomUjLc6wjqMLwi9gsfiLgc7+j/c34o28oNaaqr+Zw6ytjgEnG2Ztq535M8bgBd2dMhqj1sIAGn
6HMT6reuNY63zjjPG0P1/WbZfyxmhxVSz7iq8+u2I0TS4ZvG9IXAZbmSKWMW5jT7MEXcAALVbn2b
MDGWooJxphmwIzih5+yrhNKHdlXK4GQuth66pF2PULhiNC7zq1bvHp1M1WsxxotvQLlwRbMSw02H
MzrZkoGdn7SqTbdFklrX2C3aLSrH8KlLwvFk9NO6i4PxmIw9vX7mKt6LgbE8gIUk2yXZrNEOhddE
R6Pm3A4+1233ash5MBPODpQImXaTzY2zyefmW1G66NzybngGpul+dOaUziu7EPJe5pbzNI3EMe10
a1FS9SM+p7LnPFZM9b5SyructNq+abJ29o2S6C6tq509FbQHvkJIdBGib35U0nU31ZjMcB2MswO6
7ewFzYjhC6cWuaMFR5jC2fVO5t1kQQ3IAT+PQfGfRCZtikbca1C7fIGo48iH6t1NVo9FJAqAPxba
YL5PSm9vnE6ja4AHieE1qgnI8QTKJp8CjdDajY6WbW23G4hFiE3ogW15jVvXWKEgSQ5BUsvFmh+v
jRypwxCI3WBZPNheccYwCY8v9+R1WGcQWGrHuFhUSaumUlBNrFqsc3csd5kOBDLDAvfaw9zzWWhq
hrqEQvtuhxKD9AfL3UVDITOkZwKtZhuEj4U+GZe97pZXugo49kPzRN2Hkxnia4piENz5kO0IqHCe
LdB597y18DRplluug4BJ/Kx584+OcvwCvWNPI1xDYY4lnwh28s/Z0xdn0ZJkaV1SsS+AOFqqwSDK
YyZm/M0Azs9jkmfXlW11Vy5Dy71RtxFyC89Fvq6Iq3ILDehQgGqynoJz0tPbNcMhf1tgYPYmrbz6
yQytemvbJIx5Vh6TREcm1UHrC3pJSdY8Om31kvPSG0yIiJY9S0lCZwFFvmI9TEYWgVYj8mFB0LkC
rF+NORSFpepPIpghDpakt1t9vElz+T5qXkUjuILhitUAaVgYzmfinss3RxQDNIGEWBSPPRDipNrN
FjNVGC7dtdCH9i1pUtZszMx5xiLQpCGmNdOpU+uhg6/ptO+2Sa240k10FB+RNtd+F7ekn4RmV1Am
ddpHbUfFeUJ1dhmPVv+ghcHwZjax+xz2XkMOW+ER4TzpysWnZpF55sCGKfJirzFlO0r0H+EmtwfY
LwLIcZrXBGYt+rGkXpKux1T4nKLCy1nOzrrLiIYCMBQcrBJdFb9VN+3NItHP5F5ka2DJ7BmwmED5
ZaBFbE6XZYQoJIE0LYKxO6JOrPp1Z0rUlTHChTsXNx7kM9AnB8ub2EYE3SGeS1JcoRor7T7Gx731
0pLPjU1hZ+hVd6xU3L9X1EZLmm62LrScu9C48Usgl0eZjpJONF4licqTzbTHOBI8YpkzXjVZaTjR
+/EicOfw3ioYtgqQlbvJnLwHSMXErTAGfQkqM+Y4qXs+ie0PHIxhtaHXW0VpfWsbMAuJVpsVyyvT
bR6q/FG30PChCLx1Bsz8iYOhgbkVem/Ef03RAZNJ9Xw1cThZOw6yMlEgj3epsRFFQO30pvgtzWSE
II46edVHxMjMEAKYachtb48/OuxMO2p5FOiN9LaAcHEW5PYR2bPlC0iNq9xaAJ4eJiZXakAaeZz1
ZBKn2WLErMSrqnjhqOzdnZzrdJXnM6K5Lp7ualtGvuzd8AzT8kOrdGyPihm/jcfiGNPY3bR0s44x
7r69p9MekNMA5KFq+l0FUOct7YS3osZn1+EghIa+NBFfxPU2H7v2Qu+m5CIV0y4FOoxSJpp8imo0
gHCYRltnXG1O9t5qcOLpOaKbFp1qhimVDaIMrieBXqLL8Jq4XfujazRUs0yYd8ImAzSvvZcGE+62
mSsbTwW9AxXqh2Rsb3pDe41tc1uCKeKc4l0iPYetWD+PubrqIXx0pf0AZenMkkvDKIu7k92oj6QO
H4Xn3Tqy2OGkJskvyV49PWbclNKkdDrvTVh662OLYBykCeuhzGIYtaV8mzzBwQpyGTp7CVKv6dae
1LdJX5FY74xQve33fEDRJnO62itLoyIIx75/IknpfRrig40PcVvDqRj92ZvDJ3AjeFkJGE2PpIAO
q3nG2lvGxk6ozVDH3yACtfu+iy6s+kF3h/6+dmtvE7XxnWOE0d4ZvRQ+y9B/02TjbtARITaihrnA
vqjtmwkaJ/NBHe9C7HyDFlGQhkHMDnAOhNtxbdMeHZOlnIATOO3KESOwjmdwgUjA5gQTrzXbKJ9u
LVz733WbtOWjVmU0dEB5tq6+k4McjVPn5m0LWTwCSk6azfJ6sk4BCdN0Bh9CdmJ3CMk0IslwTIkL
p6tpJt1KTzKxFS3jOIRZ1rjHWOQAjO07J163SEZRaS5RmnY7UnKmSFEbePjPbpgGHy1RnzzdLcNY
RM8uhQhoogy1iltSFoU89v0adjfKh3CZacxlHzxDgtQ2gVZTY6BCPSWxAvDDHvfo1sF81kyLKjl2
tE0317Z+mWgWcNNuIUvkvcOyNLaJ4RdiqU5EPA0/EgVFLLFncYGsGlhA2AD7SYF6hLlGkzuE1nMr
Wqvb2AibFj/AoCNwG23r3EXDUvISIjWjj63aJ2DUHB0yzUYLKuDWcLbnpTUbV2xUUqCvLdieW0c4
1Fej3b3YGe6MuOH4tyIF8BoxlE98anEoiFLxFVv+QRKEiYjZCI5GZNEUYIx8djHfnz4nNZ/XG5YQ
2rm0m0Ngg7KiThh2OtyTb5//xEMffKvblP3lQhVz0JjvJXid1zbvqMEgrNAlcI3xCosSeF6KTWY9
qrDviKmbz0yWLeJNunr72SiuMgKG5YT2v0/JpM3yuCIiKwbgr3n8ijmKxqOtumJn51b7hM6JNxAn
vCLriLppabxcW3EmvuX4fjnap2DggnFqDo1VTNfpxHmXQE48y2kPBa6a586fdN6XmdMLr7CpXNZD
VIExmZN6x1GN2r7vM6dZD2kwpqtY0RWhecligP6NPHZEA6U5WJC3Az3Pef7h/Vx4ZVi90vyLd3qa
0FF01clrmlaS1uTBSGLv6KLFaVNuu3QczYsMkNilJUYLy4diQqYsmldI+o6fz50GR2g7JHwChupg
7jWZuok6vBurYVqoKH1UBSRF0V1D8Gaqm6xf7kmGQcQR/JHParosHfg0Nk1K3xRk1ZIxWuzKpRXX
9kCKnBnkscpAn8FJVlvb5AnozIX67w3LC2aJfRdKT8PNRR4oM+923Tnk3k7gBr4B/FFbRILN4TMt
tCo77pYg5mCGIuBgMueFoFY3GK3rUdO/RfAuk3XapbhKWp77SON4DR8GQs9n40loMvhQwqSplPA0
GYpLJpNWvtJKLAz0+XJ46CQDe49wxeMQBeVrEMH+m/EDw0SO+AqbRs9sEtT2MahE+Zo6bXfwaiyW
q7kdMh1YQxaIW4oD3mEhbdpfQRhifnHJut95RSwvqFuaJyiU/INczxZxJLcJ7aMEWk3M5+cXVrZp
9D1XefWKFJ9LT307HLOOAKWOlmu+6l2tfVUQ9UOdjlxX83NY+dMTi+9bb7Xo3UVM6dFV7xgHCJVl
mLdrB/zvesen03UBX/aJWWnQz3jFIBbvugaR2oINPhu0wM9VDryqGfHOoNRV4pSFUlwVhg2hJMOs
vuqofKx1wXK40/G9Ao5o+Iit5SkY0cZcWJVFSwFZDxwuMlKQqpK+crQdpb+FegKszHa1ErRSxXe6
bCxw5FSnhMaxPnomdyq0SWwFBRx8OKCIEYl1yzPYLKFyDmieYxxKLP0uUMy95iyQQdeh7AO+P/xA
7W1YPgXG9K0t4+llGlymUC0H8oZWahVuSPQl/UmCtUM6PBSXOPr7+1gf3e/VYAYfcTl5x8GKkISF
IzuTGY/1dracGYZ0wRMweHXwnNgL32xxfMC2LWlwr7Mq/gNm978tCjvH7w3opY/uZxnYp7bpvzVi
/4ekYwZ2bLrf/1g6dldy1vg3/xWISvyz2uH3H/1d7eC4f2MaqzvLiGCh29Lf/11B5hqkFdmkCwGs
W1QQ/M0fWgfrb1K3lgAj8tNIHvqTj9tAdcYMGW0CkyRO8EzmvgjIfiUosz6HXj+12tG2EZPm8Jo2
Hmz9S8e/jyXQkiQGHTYgJWMJTI3RR1bp7aKirrZ2Ic3eL8LEZfTAYrWSMekmI+vfeshY+nGY9eI+
CWLjyab5dV3asrgbWptcDxPpAObcseJopqx91Rh8XTzu0SkGdbvG2lpyNJ5SG/eyNiVwMAwsLBds
/tFlKkoMCEQYG8eeRJIa23K8HA5xDQuMijaCCDUkmAtyWr4rh0Tabaq15hVAPbbBiPxMplkDJ7ha
M45NMGPx5SMoCEszIhmBPCK6bChn+yy1JiAUQ4IfpcNuHEe42geKE73A2FAPz3rOL7UGVtj94Cqg
SRs8CoJFq6Br4VZ1HPHC2bxBRGAcIJ/YDf7nDrc3A1RrH7PyOexrpEXGfOB7K7CQUxTWGG7gEAbf
lW0Rx5OKsX2qlAaVN+A3ezIrtv5i1FPw8qz8RMtEV2MfFPcVZJ+rrkUXeprqKaQ8p/NGn4bsqHYF
nU8A8Bc1K42KKvcGzeq8qe3qP9k7k+W6lSzL/kuNE2lw9BjU5LbgZd9TnMAoiULfO9qvr+V8z6qk
SxZpinGmRYZZdPQLwOFwP2fvtbmRbDsxCOpmQrIDKi0X58ZSP4vI867CnL4SMaitLjZY+qxy4+dj
tXPZxxLTAYSuLupL9NT+ld1RMT9DnGoHHfdvN8A1OcMrBgkujsezmIi23RQPBYdtuyQPSDTetWYx
W1KAL2t/9uygEGBai5BaUkh/A64hT4fsaesEz2p1mbF7124Xq5i3jpuKg9WNIz2brLc2CaAoqmda
gemzF8SrlEnzfVyK5lsL3+Kx1mfLxJ7VkJ+DT7T7KbTC24JMkGDXxtm/nmrOYvNs+bcGatZrxMyQ
jfypxdJiD+azEU4d5p0cldlG4ud7waZDEkQnwDvXpksgwaxHUO7TkuBWl+j3E1pLxrxPwl47M0IA
djgaXZSGBL3grepMP5UnsZ3ZlCPHur+B7GNnZ7E5+Vc12jRzJVrHuS/FbJ3HnUaizNrMMaxjB0mJ
Ol87ol3MfURmph+uNKDqkCU1bkQbzDYxgN8axDkrDQpJgx8Y/D/PRzGaIEn0zbj1UGvsItQXRh+E
oE/lQTp1r5/ktF6SR6PuiC+x+T9lyDf0JzeMtNsZSxCli5C6YDGcJoPsHuOmuCBmPDrDo4PgMbU1
5JErwyQVXDtEhU4fxTVy/Z4WXgLnFpsRKbALhiviYnVidlfSxG/QLNH4kEjiQDXw6+fwqUgnq+VN
2ot4k+TqiA69SOA9YQ49OKR8OwGvt4ZH0Az3VdsuCqVkEj5PI5aaU2o0Gyebop0mjY6o2pLfEMx6
QhrE0Bv9ZpbTdKoBPTipeh1foF/eVAt1ORXqkKp4B9+rpsOoIh/cKcm3loqBaKppP2qW9hND+rbJ
QzqF4bKfPJHuUVnCbq2le9HN0y3F9miDMVwBluwHEtOx5/Z9v1oIw7kcPf0G8zkhFSquAgBWzMkH
Y+Ggwiw8FWsRloSPp3Z5qqvMi3R2L/SFY1zTZmMwjSRjlM7gXaYqLWNWuRmWStAQKkujUakao8rX
sJzlImm8eY9dTq5jlcKBpkCs2EJ2a0E3By2riuvICO5ASUHDJncvcUOeS5XvURuAlTNTZX6o9I/0
LQdEJYI4KhskgXUDP6bZo6r3tslbgojKEilVqoiycwTEoiTrXGWOUM6n1JLPw6p3o2eF8NlEggyA
TKWVGJQCsa1V7eOYNmOAjkLep30rmRgjwSKknaDPz5XUat7KdhR3gzDCZ/yiGiWjkFA1J6V7gZfW
0NFM0ecPzIIdc9mgv/P9ls1fHUHUhDppHbxQIy1B09zrvuYYxVG2wh5D8hcNnoJZ4SwuNhUVwjK8
BbJ4KpvF/yelhbwWUyW3oDOML7BRNd9pKRKjsGCafarxpu5EP6jOnuHtik4STrQM9bd6DPVHX2XD
kLhXritgHhelZ5CVRrkhKMzCuzb5D847lSnTES7jvsXMCJ/EGSp8zkX7FkPTv0XS2CqdhhQ7gmoi
lVmTv8XXZIaKsoGgumwslW9jS2pmg8q8MRVieSniqeU4RBoDlhNv74KeR34YgcKqo37VaL32IGu9
e2TGlbAX+rE+1c32hmJ+dT0tHMfMNCs3nuRO9znTgAgefQLOOonYCgyjDVdDZ2mwPgjtMVV8D132
AvujWSzr4S3jp7WI+ynfkn9SFQLkqDggSp8DOSJEBE0qLIiqtHfWhMaz5ve/CGKOnkAeYkdVKUOI
F+5LlTvEO5WtOU8P1LdZ55aZfKKotfaTmT6HBBd5BglGS4UndFGpRmYyP83D7FOZJfHIddsXOnwZ
LTX9hIDGbNsK8pGi0B1WWUqSEwfzNBjegpQMlam0qHSlvHNUsiiJSyXRS2UE2qtYSGOiLqNjfXsL
aRrfAps6USwXkUpxQrf5s0/jO7xjbKXYXyQq8GlU2U8uzsaNHepGs8KWIQ+Z3ajNDP4/aeG0xFpJ
hlQZJi8GsVJ0kauNOZI0FavMKaTp7msr2pt+EL9CYqm8Fi++r7nfylzoGyUV2k8qxcqfw+Ws1rEx
u2bzrYpocyyEXo0q/SrDlrodVCKWFw1mkKqULLA7J7bKzUodcZ+oJK2cOY9UjHQtBPf+3sACi0Mm
3bfEgh0qwrgslcqFl6Zc5QR19SqxC8OAtZZmX93CVkeQ+RbtFaqUr3wm78vGNrWaVQYYSUjFqtW8
H2FkPCEZI2irsc1L5KX5GgXFdUOYmEGoWGGQLpYs5IzVKnGsVtljPSFkbjEStyR+dm/xZD0/aS1K
FRNUk9MHScTaJg3W8EFlm7FjcW8AiEeQecd0p7N7vDRUElpLJBoV0w2mrH0SA1WY4bdg8zbXqcpR
Q4tobKBvE1NIyNqU1c5NOMUUdcfEps+u0tjojFeYELAgDA5XR2KbxSf9TGtIceuIc5MpCF42mziu
LkGRRSDT/VNQa1gOo6Ax6GjEmn4Zjh31BogR1DEwLMBPqYvnNifyfOmmu7Hrr2ohL0HFnrNbA/Dj
EIWSy3BaI3iiQz70iAFSXnP7LbuOgqWNrVVF2sFW9M6cguTQ2KHON8Obo1VeLFdGW2anb6eZ/zn4
fYF9RZ5nfXrwO39Jytc/LEP//C/+Pe85OH4IOLEc00AYRuEB4di/Bz5X/LeOvoodMunYNCz+34HP
cv/bAhRPZdbXWZIMHY39v+J2wF2c9jiloR/2UYKhe/+bA9+RsgoZGZ1S/g4iRCICnCMh4Awy25Sz
ko6H29nf2vO5l17+dgz+WsyNiBN1vw0/FRUfpzlxNATaQdUV8JeAbCGccp5a74Efc0v/72H7PxiF
e/m7yrkN/WmyY0Zxy+dOe66mV2l/oRVXf+L3o/HxhRzpUqExWfRsGQLOs6tfE53SLN8/v4pjvaNH
UIPuEvRqQfTxjGPdsjPlRjloeJRHy2tWg0Y3K6mr66Jo9jBviy+Ude8u6G20NwIc9QbnWNTrTvYk
7crlGFFFFKXRha2SwiVlN6rzzecX9tFQyOtd3+Nkho/gSMGnd049UcXkwmIvuptSC+oZ++9zXQ7Z
F1LlY0mtuofCwKaAQQ+unX/0mERmEwhoMlTZlv1ZlssscDBRr8NpmVZNNBX7aiBy7O+vj+0W+3mS
idCrHg1qJyFGtwqX2pxxFw167yunpWsdavzT50Mdy5bV9RkGkmUlb3cs5+hWZqZWL3WtsbOcQZmv
8pA8SK0hki4z9IkotLa5qmdiDbN8ic/7fJq+GF+9r3+8Bmp8UITIhz21NB29z3Nk1bGeRV3gFWTk
wFRSFrHx/vOLVBdxPAgcZmyWdLyQoBp/vs6TqOQsfaMNpGzE3h0hrUK8MMOL3NCXYJkNMMe9P22r
tmh3nw/90fwxDawZKltI0bj/HNq3rUlEhtkG6ZjN9NxtSWCfhgvb1fS8WdFbBEURswX8fFihv5lN
/rxoiKQWF2vwURDi2GjU5VqdRrBHAPOX7Y8Kyf9I/AlROfQyF4pFWQ6oCAqcngNdwW7d74iW5RHQ
5d7P0zDuk7ptH4yYneia1k26aaV7bdjErG7oP45nPrGYdIRbfWNK4B+CVJjbRDfouLkk8UESRD7l
pm562jkDksoKgYhH0KPnddu8EkPQAwYhDifW6T4KZ5Npbnye12zSs4bznQOBmCZyTwtIz91TWCYO
mmAX+G1sz/E5pTeHmn0+rxeIYdtYs4dTGRU9E3WS+WYB53/W+9BFiEzIN4QBgPFymx8OMHv05USB
ehoYbYLKMQga3ZmVGfJ+KmfresSqutfQKW0rs01pbaks3l5Yuy5jDXXxpp97qDq2qQn+kEVouDFd
yR+hCXCGa3zeUhAwiPCaO3EehhgXKwQh64gj4HWYDuMPXxbz9bCYPf39cGIaDCnjJcvrWDrhU1zj
3tmQ+7HcI0i3zc24iNe2nTiEIp2Wv7TGmuI1gY3yAaS1F2O9kdb1MOj8IXWDqRWfV0gz4PeRI712
ZtvZFHUoqaShbVmB0iNDlLJGveb3Zch0SK7o81S7SCPrVXZQWsZZKjjldG8txqtf+va3ybDZifZa
8iSzKT3RZ8R+qzbmRSpH61V1Qf1VTD5ekDasGCmCbrIUw0U+9Dp/r5j4HRQFs0Ph291DoqY+4Br3
tPD6mC7MGHJIbsWeJMv4esyN9CQqzWHjt3A9RzTrRJEZC0IgAo6his8hjNpZp/maexGpYpYR0EBn
AGMBUd2kcj8WXhakdjrcEu/T30p2+OgL/I6J4SWgOqO5Wul5mB2wMlgrS6v6Ldxd69LzuZ1wQsky
L9DvbSiouhdy9NP0JEWaC10Asyk2+4QyKEgmcWMBGEKQnei3KWitaaX2+ZdgEdJ9HEX6Xlht+J0K
iekzS7Twwhh9dIVZjIx5ZYkS4jfirkuiV4wNCAVnDZLCOsx125w1lGpvOBkOJw5xpVehZmr7ro7N
K5f81rPRsh84ydETI7ZjROkz6ChuEZ2cNK3M6bdO+bTGTR1+l6jOV349cogyObLvKyTAv6w0834h
aZLrTuvG05ba4feYsvk26htLrHzywrYatQg0gL66H6GeORuxTBBDO+5kN0z5Fpq1HohOzAF1BeMs
jyLrjn4x1bnZo4ZNnq7Ye27Z7u3RGp88IxyeqfHE13rR6MGQGLlDmXWilesmgMgLlG0/RNbJQ1P0
xUUPCvmlJV0JXknkX05iMe9o/KIj7jpkBVNDhX80yFs3Kbjsorr1roAvly9zbI/XVPCnqwme5MXU
Nc4ZGKFZMcDt04yUy71obHK/Zunc1rPpbSSGoICuqjesbZ28u1Uj1OKVG6G8bhcqkKtFDzPChB3H
3uD5AM4SjvovC4ZjsYrzKr5t8IlT1XO6QAwsQhlpUXumBoJ1sgcAydTdXlYED2+6Ouk2bCitba9b
zWk+OkuKeKiJ7xa6fNEqIuNa6StiEI4+Nndk5MuBXxvdGaSBHOZsbk7Ri3KOs0MO8KlT6iS3Fql/
QgSEvavS1EEFHpFe1/n0xemfbGs90vZtnCUFF2AyJyhVIG3wdbnV57Y9+UdJEFPr24Wk1GzdsA/b
raED1RqIPgF0WLHBMeiMX5VsAr6PjZQsY0N2TRgqIsdUn9eSVeA5SfyF4FvXDaSRDq/44pcdhCD7
9K1PPlYJpT8PY81Ll1XiO6BoROY5/dpfnY8rYu4mBPtCR+Sg2upG6diwxOiH4xQCvLLYrlI+4GLt
PLSMg5fRgmQOExwxS29jUfFHjauGpOWAmgblDfiiWcHMzVyJqaDBPLqThMlhx/xXrdbUgAjRBH6T
cFDkNW5QAtLutOLqYUiKYv+WZ4YKI9wmi9D5VuvFmoIKUWqTavBW/Yvnm/LEcx0vW0V9Cjs8hOPO
5x00ytwOFz5CQxQKQK4oF/nJOQXl4VxoCoiGQnoKoJfOBiVbAWwFchuhLd5QHNJO0P91K0f2She5
gNut+cH6RNqOnyAPEVOnP72p8xNLqXHeLLx27ZGnMzrULOGXMWyCMOYwkSFFEwARQ6USpurEwcYH
SF5uPRNKAnB54v1yM/75pgLIlEKhaB37NBQVVlynw7raEN/B2695ew6i8Pvo8zyMYOr2JTl3tz45
QVvbInTNk6hJojfNkPrYkctAzSBFPzM6KHxMQbu88mlmgbOdrsx2tl5ISM+3Zc0Ed0LSAmHfJmuM
e3KLZrh8JZ+4P0Hr392B7lwemEjRFQX76FKmvU+gO9Jdx6K+lLR1ufda03mSnEWBVyVGeJaPJVvx
t24/bZPpijgeMGKaPrwOZajdw00OUe2QXrDxNOff55TJKfw16/zYyTKpU1q1uEADo91FYcYiQ4TE
Ic0NcAT2lHwr+45OZTVMO03v7Uezn63HodWsx9Su5wu+VM4OGou2mZNE26AnQTcWgp5cIq29qUAm
bKmkFFstM6eLt7subdwYVed5l0am7/SyrPjwdemp3aKbbyrwCWW/jOuKibib7Eo/hWJUbkvV/ylm
aW7rBo7f1OoWLzENxEOPduIy9ER0gs2DYv3bXF48gbNLswCCUmo4XbxkunC7MtwiXY3gaktSNuj1
Z5d6kxYnDmrCJz+EOy9D7JQrL+FjqC8Wj3/BpJ51RHGLBtFTNPpmAWwCHYe9CCVFweaSzdMFi8J8
YtRheem2y7JJKruP0I7U84OOn8smmn4kuBw4N0KrjB6fDxepz9z00sxibdebCJ6svkA3Ni7TlYD3
SNenni4bt+PTDaZL7l0aFhi5l8LNNvA9QoCSIva3fJuGEyrnCzpSq0P0LPNSrAk2q+563Ie7ngWH
PRAi4FNhGZIUYSq+be8MOOER7dD8rQ8NvqEdFm9tXjVZqd39E6HqFQM7ZsukDzqg/NKjjldT2tCm
gJ3hx/WGBpVnrRLfRJk/6MjrtkWNGsn0E/H9zQBjFZgarHEkysv3EM1MSWWCTlQ+MZwC24RuPMpm
PF5t5roHZ7TmrSfn9sSbDeQx5jxgjip8Z5hWcqC7uaJDvFzr4Hhjosxz9EIh/+IOTmoE3hA1z1kv
tXStGqFXqSlUesvShEEnUmuf6OZyknqhsx+bZK+u6NKleLlG8BJf0DmmUt8nxa0xZSSae8jUlzrW
aHhU4L9NG3TzXM6AA42yuTUHE4NklminqKSv+np24bWiPR1T7dVr4J8Iq3wiylKs8nQOz7iMbJPr
FSunHXXtzvPacVshvdmHIVrhkn3JKYavFktgo7tbdogx4mS7WEua/wb6E7qmTvHDLbUf6Lwu6SmY
O2MaC7Vva0682DUgNyV3YxUDQPfAnrJa7bkRwxoTMjH3eDfQPntPWgnpAHoKuKeEuvXGG6NolZmI
THVP4quwqQjnbs31lhCu2VUZjsWKjSy8Ds/rMo7W2RBB605y+ihk1/TwU9L4OeoHO8hAzSyruZ+G
7QQD+baGhQCEM9Ip2xdGfBqnTn1Vlln9pEVQYvmqgxnWagTYg4srUGCN2uRenZ30w7wcjMQH1g3W
OSAV3kYMHjXWleW1y1UaOe1tHSXZFteHi+Z7Uj2UxXG2E8h0yt0xtWx/SXcweanG6XlyiFIxI6qU
BIS2S3EqAGmi5cttv92MVYSWYufBospOu/I723vxjVhh71z4vdTXrWFX10OTws8xqn68Cpe5OpEz
LTHi6rud9LDBGEVB5nfmawhy25anuJlC+7sVWwASh3iZLy2Ix9elTfB3Dwbjm9Oyv1rRFDIuZs+X
37I8dg8Z/NDHcHZVoHvZmw+6+kI6ooDnFXtxMJVlfxonHq1tWmaPpSQwd5LNeMjtaDgdtTn7IS1V
3Y4FDxeRTXg1uHXxs+hcfT04wnpBQFsZvCK1exDQX87o41NdgRGBwG0oocglHQiaWZPWvUl8zRZP
h0C7CCrwotLm12xwvSejckuMHIu3jqJ82WHQS9fpQCeNPd6CfJaA0H7VaxPwpLllJUvzNEjrISc2
2NV5vHxtDzOnCqzD5gKUx9tEXb1suqS4Q7DwNJWSghar/IqarbcpfbTKmagfWzM1N5mDlg+ngNv0
oEp9eOK+U9xVWVGdySU3TtoW1T77+WIOIxOdfO31WmB2o1YEHJcc7ZWUd1xCY2ufiN7xHkiUL1ec
O709pxh4+FoS3qOAk2d8FPMrtorpyyTM6j5tsuap7uvJ3deajTA5CZsk2w8VspNVlrGlsTRZXlum
GEuwjOjSstYxaOC2I5xno3+NRg/dNpXds8n3ylOTne2PstZhu5HetHG07GKpQCCib9BItMJmtkYJ
DCJ0qMcYy2wtLygERhcpm6FVSohJt/U8u8Hk5eBJbFMDZr77U5ZIVnq+aT6dY4P05lAuB7+iKZLp
FBksgBIPU9uZfLgAKAlCeq672qy+UwZ7ttJufMYJd7v0ePh2Llq7jYbMbp82Cyt7rZmAnPv8FtXN
qJrjTXtj6zmM09DBuhX3+m4Zhh5NIF1OzausfQyo6szIHIR1WdvDJyp8zqapEX1Hdtihk9erlW1q
EUaDyb3jqMP3BFfqc1i4+qaO/EdrssZTHRzenr9iAEpo5K2VWD/d3GsvB4pakEzCYTdkGJ64b3N6
7vvLuB9alztWed4eYKRq5frcFDN0H90htu6SoaI33ye8sC3QRTDyA+5Qx9/Zmr2XKJiuOIM8sCBn
l1O9OIemQRsuR+ls67wMXyo/I0gGMSRlQgjw4CAxbwBmx4PWsrudQFmto2Esb0rkDOxw4UcXhTyR
3lxch4nmXLmNHm0cUsUuRDyYv0RU0uVGhbJtCeg5hGXcX8Llj89yFC63Vo2djYbVEmr9t7QESRWT
IFSw3G4Hks2Ajk36dRj2TpCPOMkrmVV74q3yW8mKuwJpWm99f9D3bd7fRT3KicnVnYMZVfNeju0z
iedukJIWsEaaOh1YSDVa7P5wxlbOPYxEj14QuJWx/63KXz0RBbBkZf3dxPD9rfNkj/Mjwl38vSKA
Sz8VdR+eEkaWbqiWjEy2zrjrQfiDRgWF6V8keRuBy4QjP61MZBT2rikpI6+9uMVSMbf5XVnQxivs
GX1coggOlLDusL4Sa4KxVIdhhQfBbA/6Mv5wbU4NoFCLNZsqDkkNLpJFIJlGTyO2HCcCDTPSgfff
fnIL56HARUW6RRUF7ArzDeWOHx3x1ZsKXhbWFr6v8zgG0L1fXI4gU7qc2a0OVTV3qJxRJtJ6T/yw
kG+dWhURIE5DmqSOuu8yCkUwEJjyK3ZM+woWnHHdTf6vZrK0h4hX794w3Dbe2F1F6he2rXDTkV8I
O9au9ro/9VsjacoNyDf4xRjRv4BTfNQDMS2dDzQlbgPs05/1V7PzncpNqL+6DTmrohjuHawGQeRw
uvXJVvsPKvcQoujRQzkHsntUaY7aRhcYQRiuk/ZdYzR7TgDTtgld/Yt2i1CV4z/ru2Tj+LZhsQ33
EHoeV5aX5d+itrP044/urUg/h/3PCZESAqFcYJTH6OB4i/4Sh+pEiQrpP6jem77nwJ40gQ+96x64
plwwgbcYsiPr2iYU77yOqJN+Xsz+qN3DI1Q1bGSk77BKFjCC3irowby1Q4BjU4/052klrLT+4vl9
1I6w0E16lklpDjrNn9Mlm/pymEFYByOKqQ2mqWfHq54/v5yvxjjq7iQ2CDre1jbAPXu+AA63vOIr
1MlHk4P5J3g4TA/33eTwU29sDdkGNR+w86jXjYMBrXG9DGPyFGu0WvCmgA9uqbXWJjYvyC1ftXbe
v3oIfm3qqLx/PueXo9aOZdf4xioC7yNB8p2spLMeRdac5VqK5aP2y83f3lfGcz2fcE8bCNfxu0dG
jO7N0B6CopxYpZyZMEzhfrGevJ+LJj101NPUdwjKehcdGgm5tFneEEMVKWosCgvM5GdkQX0FE/tg
JC7Cs10LKbYScf85FX3iKZd59qqApQ15mdadmrN7V7fpw+e37YPHJFzL0AXPipXLUh2sHy83CKa6
//2/xH85dZGZfutWwZLo2zZ/0TwQ7VmpnDaHz0cy3jcbCRH6baijZiMHVUdZ9mFEDD7Vu9KKVsXo
SrhI/gCLYyiX+xld3d6mCNpuGosSnw6d8xvCLuRwiyGh5rtUCTvO0kVrUgUrLJw+tpfWB2lOOIzH
eDkPczaDVlOauAQpGbO5ktvckKk8uANx4GPVU8aaATatOWuT8YcO7osLhbt6vDbTyqS4r/MCCKAF
R2tzrpKZ/LLnnnaxfPSLUr8Qg3czO07yUiwqQidHVoaT5lsL5GznZvCKQc6fOAAhEjRFa9GQkGH0
90XI7kgSC1RWxU09eucL0YmrosoQuuIOJqsWznvYpghDyZFGQD4Y7kFLtX49WZUV0OAaN1ICZ2Gc
dMM53j3LLLQMaUaQILKqeONH4OvdiBwRvj4+d8vQ2Dwunf7dDfGpfD4DPphrBtJ8FBx8s/juH821
sBhICGtn7kuqdWeD8M0TnvoURGmLO5pIoTH4fMD3nV80sS78XNANoBuPO7+Y0clOqYsq8JUckaJL
sW2iloAEs5Z7Ql3lGSJX/c4CV/OPwun/S5v64PWlra07DvpiIEPHr28bzYMW904JNmaenwZnFM8N
Rd87CGXp619fJF1eViMOPPz/cQ+d5gibzrkvg2JoKY3i5AcbXvfYBdOyPXG6jDzxji4b/FeDyt3n
g39wneyrTIeGGBIJms1/Lh9uFgHFq8oy6EJEs81IRLqCfHkp+XZ/O5KlFini7lG1+DhU/hyJg2AX
QQzKA1gTj/NcjhvDQ5nd5qb519OU7QaCKYRRyDDegcLqrqr6aOjJ3hA9kXwO1RczvRxH29lx+vz5
95dFIhD7Gwv0nn382YrQqZdW3nBZdmEGWj2XFY0ECrsdQYVfoQzfv4CWTvw0Hy5h09U6/nw1NIhj
py+4Ms26i03tES7Jz3Qy73CCfbEHUe/yn/tThkKf43BprPlvGK7fviuFGSdzqdGNhUezNSmY+JWd
r9yc8IFFYRxIcfhignw8os9WFPoxL93x58WqXa9SIzZiOGR+/VLN4s5sswabp4N4sjfO/v7RsfFW
zGyVd378jttgNsEuuVmg9f1hzofAsrLLxNG/GOb9htHCRYVGxlRkQeNYWTV4+pQk/Olg0AxFAiut
E3KutO3nF/N+qWQUobPZQPjuvKOzgUaYyjQVWdCaHGs57mEm7H+5pXOdNpKumrcQSF59sUoqYPq7
WaIWDhxnNki+Y+R4WCxYv2NUVb4NwGzMCQlal3WGv9inVbeUdLI6AhwAZFVWFq8JCCDisNPdvZya
6CSnmbQb2RYts90Q652BlatrNgdqW9Ao9znaGOfeN6D7gYKxv/j1Hz4YiI/MOAEs4vjB0JeMc8qb
eUCJqtyms58etIlix+cP5v0Ky4NRYHYf0jHyR+PPda+wGj4jUZUH5I3nq6oaAj0Td54rv9q1fPQo
fIe9LesQeXpHK7nt5mZZNyUL0VSbdLPD+GRy9Gn3+dV8tAIBqkePCGEe1Ze6p78tCwu82onMgQwF
ASiDweUzBfkFM3WXfx9S6+930ZwZkYnyyVBw3OMTKtAzh0hwXtE5C3+qe9cmznXRho+fX9VHLw8U
fsdFksvB4HgaT11G0kTFy5MntneVzYI6e2j/pOJa7drI9n6MOWhVVCzdF5+qj9a8N/I/CroPDj3U
T/TYtIYsiCLjUpYa1vloV6cPNYGWvIhfjPbRhOfYYzDZOVm+UwtCwUNHBrMqqKM62xeO7V6PBjie
z2/mO6Ao4Fudm+gafI5MZM5HX3q/Nyai35os8PpRf0BsX+00FMerMMURQYHeHe/R3FfrvpLDZTOX
GZlArrmPPYRdC/QSuktpvRENcDGM+TRl+z796nQrPrzzLids3kyctscbnzbsdHssCr42k0WtUDYv
Qvog6k0CjRLXe+yJily7dUwlsyQyLRuH7oQYxOeYtu5CWPGhJmbrhCqSv3JmrSbTiev4/EZ+8K7R
2GIL6roENrM//PNdy11+QzKx3cZE9LNeBBapGkVVmNPEnl8+H+uD24EPmRfbVopVdt1/jmWAHcRa
LNnah+KnTsGBBFr9pZsJHXL9MoXO4cgvdhgfvHRCULZnR8MX690We2jzeWqjistL7ac4icAw0rqn
mNkuKxMsz33Tjs2GluwQ/P21Avv2VUWKDeLxSmmRkUD2b1cFnNUugLu0yHPza2TJEUij6AEzavTF
1uajJ8mtpQxgCE6/xyRs3hXoP1ZTBZoeNWuswrQmyWO+HqHdBYXDQfrzK/zgm8MFsocy+bCxWTx6
A3HRWnFScWunIULCbbXjRm+qZmMii/tPhvLBnnkEkSO6O/og1K6VyKLkiCb8qryy8wYntiud06QX
4ovl66M5avJCKR+CkjwfzdEBXUy5UBkIcHbfgXN8te3mjhSHdpVEzTVhzvKvD0csYJguDAjU6MiP
X0AxUXA3uqUMFoMcMd0db9q+3dTUAb4Y6IOFGW0xAGqTyjM2DvU8f/uq1guYFh3feJBH9mM0TXtv
ae6+mBImf+NoQ//HGEdzwtdSYrgsxkDVK1ZWktQH2KT2jdE70EPzseMu6jAxxpYYQyeN7quxdVEM
0LDpPQKXRtEjiSoT2j3ETxPnLQSkPjBYiSnbw2JZ8bXhR9O6nEFzhLVe7osOhQanW5J/hyjE8+yh
1tYnKDVCYWzxuIqbxS9QXJQCkGJVdO1eH4hz4QA1RZdprrM7rBQVLEvay3hy4z3utPkkhxR0MZhx
cT4Qjxp4mX+XVFm35g5nZO5SN13FqIUCFErEp4xLvQ372EYxmI1nlUW6prL47j6/vR/NTUu4rmCe
mCqe4s8nCPOykbPD3EQr+NJM8sUjK80ytR2eaGhK2Og/H++jN5w9N5s9yvco44/GI6isbMxoLgPZ
xKrmdDEa2ckoyy82r+9LfirqAoU/tUzKdG+EiN8mJqTJmCAgvwxQkl7XddIiHPJ+NNk9nahzutLr
3jaeo7b84shkfjwuVVruKIfr4w2ZX8M/rkebmkg1L0/xRFyP11raNWp3Pd/SOOeM0yh3rsyGZpOX
KIWgGbKQN8ZwYiP1tdNROzH1XtsJaZXrEHUYE67eY/ygjeWn320xcFCf0APBIiUyUgqH2gvxo5EI
b40MgJu32PAXZGoRXbzAZUn5PThL61eE3+Iq9fJlD/C62eHo4t8v8ObHnUy3LtC6h8a0v3oUHz1x
aCCCeBPKDKZKm/p9jUj0zi7KbCjJiX4hdlEFX+r7TBCw+PnM+mgt+m2c443RUA9FXsE7Djw719cl
9YZ1QWr854N89EF0wLQrSgn2gGPmvN7gi2zg9QY0nbz1rFg1uvFYZdg4427+wnT24WDUKzmzkLf1
btvrtCxGJZ5URDhOwUl02YN53SEDQ1Apky9u30cLgUPZn68Flr13m998nk0nRUpBVmN7bXSuswaR
+Yjr9FUmmLdi54s7KT6aFy6nJA6weKnc4z7N0tU595d9WjrlYCQXQxy8pR1PDGrxm8rU4sCqG1Bf
tW/eJHoYB3OEshmLPDnzkZftfILE7118AWi0wwiywOdP+sOfx4JIGYn6rX+8MI5T2GlZzDZnbOpX
048eYmO4zU2ayf/BOMTcoXbHvfZuc9AN2hxDjCgCTqI11Rz5Us7auKn69osP6UfbVopTuNcg7vv8
48/30Bx9ZNwIsAKJcDzu0LmN5XVb2YfUE5fkp90Vuf9FoeKjCfzbkMcb1nQhtLyy9SLQxmkf9dWr
b+UoXJ1DWw1fnDnMj+avSmCiFk3OErWkPy9Pjp5VL5NbsMwY87OM61/A4J01DFQPzAMkfQWGWxes
yLiuleBYE0qe1aL8gWn7CEEmfgwbcMa9gWwZawtmg1i2t9Hik/tS5li+w87bTe7oPXg2qyYk4w7V
hNaB7clUabMyfumjgaYdEN5U6yQ39hd4EuutZMuXeMO4KmYz2fbFbPwf9s5kuW6jy9avcuPO4UDf
DO4EwOnIw55iN0FIoogeyESbwNPXB/52hS37WlHzmtmWKZ6DJnPn3mt960GgvGSzN51fPE3/dBWC
zalLi4Pn9ucBbFWJvm8QKR9XsZ5AlxjhoNvPUMMu6Zk+DzlRwP/++P7TLd7sGTgGPZqtP192URjp
IimGjrkENjeJscPDv2HprHTLDO03Yeq//8Z/+Irs65vbmAAuKvefTpeBu/gwDazqCJ7f3mUdwKMm
o0JbirZ/LkDEHNEhffv33/mp1/ipCEV7Y3JReUU52v70dKUaxBHXr+qjW69BlM2j+2BnxhQ11uJc
EphaPQHfBnpnI9n61Cn7Gdy/elwhIaMlOmgzHPdfXHrjH5qYqBLo+myrtve3s2+qnJWcVd7ofk3Q
s1lkuqNKs/Z90m0p9C7py66DfMqBf592WbQwk0F+bf8qg8b6h7Vy84UjxyAsiUGb+dd3T0ca4dZD
XuNbLuBnfoqbcwvmIQLLxrnkdnmnoUCSiM8CPHVFExmYEXNUQJLT7WzN+n5ZEjiDNoW3Oaz6C2Vx
c8hmHilsE+UeZY9zQJf7gwy+kCV72tluke0QDNpxpzXDMXOlt4N74EGLuDTb0noorUbd8NriRFl4
EZ4zfwwuKt171aFB/+Jg/k/fnwkYHnRvm9D/3Dii3VZU/WDx/atSPZBPgSDNVflzbmjZ/t+fxH/6
Vagv0RrgRmfb2KqgPxW2DJ2krLdtifSJLBbS3yw9SpQXQValz//+uz7v289P/db9tTi9sg3+fPxv
NLca5zrncDBBYQ0HBsY4PlbbOCSinQjXqIxLo9WT20GZ87VpaumdOYCfsq1KHEQDx/PzA/0vvuEX
+AaTFhbL4H+jBLZQ2d/DYrfU2v/3f6++wm3+2rz/meDw+w/9QexzthDCbTCsc5ykOcBC/gfBIfiN
6gPdEaO5rc/PI/cHsi/4jQkvT3Zgb6X7nwkOlvcbtQTHK5qttsduaP1PCA4/7yIEHLq0yUk71JHR
/M3E3+i4cuusBHyQGs5KdJXdnJnnLl9qA0JLmjq/wiD8fFjgF3qE8LBj8cn/3lGG958N2uouR0LE
uztdmzD4uHN++NNNuP3Pm/J/EAfeUnQOyFZ+Pg3yW1DlbiZ+h6Xxb5vjwKRukk6mjsuA5WE2lbwr
2w7kjGeLna7NVWj0tLhsWWj3/eypL//+6wn/YzX48wu8FZW8uEihfJN7/PMxGKAbmNPFG45t5VaK
4Its3Vdehh8SocRZmVl3oZDq9gfE0MRXCNIRtvSBnEqpZ8r6QICDkYbQmDA0ki0D5tjAl+Cvc7lf
IKthTGkX2HhWpUFRVAKHIHbCHrgputvlg85CeW8VPgkeeBKOmY0RMvFcSdSCI1+wFC6HLfZnA18Z
Cx0PydoW0nBdj7pUxiOaPHHdga5/xO+MrcrCMD67vfjq13UObKmdlo+s5xtNTTU9VWOzHPpCNQRJ
41vGnkOU8NyazTlLdNrf+SJeSZnkB2eVB+ceTuuOijy5DybSaOKpF3p74lI1dZQS5gi2kMXXOgBO
4mvqXo+BHY8KqKQFKqpqsxsHeTZtmQCRGVYSRPZe3t211WRBR9uU2sXgAUJ3UQatlgKxp9dzTCBj
d1GOpryDs5xcIMlRB1caIOWQGe0Ma5ieCgDqT7JY3QfujrlDEUN2kUlQy+gq+X1piZBMPSqPfG6W
Lzj429dRX7kzkvX26G4ee28GSGsNTXB2DYJ0pcyWjxmTzBe940cWveufXVTa50Sl9gnjjvE4Ei7x
XAxzc1ZtG5zrmgorJpDXLkK7RsIfuuOqw2KoBJy7pIrmZjJ3RGGU98LNkLwTb4QXuu2+2wn/mpYI
BKMUc3R6JDQCxbk9yu+q53X2tWE5uPlYnVqfm7t4Yo7VWED27i1IFzsdZNtJ4Eyjc0Hwi2dr6qAZ
SXmfIuEjZCOT16QlOmTZpNOPUl9Ik8JtR+9M11k0jPYtV3J6YtyxXgVy4q+yoMuJmr3LUHzjYNbE
dVJuL7smnRst1ScknXwX1y6CcAhAOk54CupwyprpB6l2y8bKs29SmzuRIB4L7UYscQ32vQZMO3Jd
S7DRXhU4kUKATciKAv2MvyJJ7l09kd8ZPq9XzZwtX0w20gOJKDiROlnuydAY3vXCNR5zQLgxEakw
xjWubZ9yH4ln5lJvj2jVwCJfOr79itkhBerPnbBdhOS2wfPfIU95rVIvuaj68nXW+pEAsK6+Sf0P
gPn6FOZa7QJvTGqTnGLnDcexfDFRrj+lJs8mvosyP5hYo2Lbrt5sEGNkfniCDD2Hh3JDGauMG4Wr
ctgn0hY3gmCfm2CYnZtxSYzHJu/F6wgy6w3nCk+rh0cWElz7ZiEnvywwZT8ofwvu0Qp4yX4zt19T
kMLI/KxFQ5YdlPHnl/MzXoK+7bV7tYhmiFVerFd0aWGIcgy/X9oBnCLN2IqsFgOraVXUkTvr+XFo
TRCjCp7oAaskoX6Vq3Ob6nL0tvAp+WLkuP2wDXuIx01LXg8u7k7zmearUbqvU9vMw/e8G+3XHFtG
mR4na21sZJar1oC+1OfxCgJe4lzMqTXa9xgzsejZavli4AyOWneELGY4CtmgXN09z6FD1AFNeVKD
1MDSNDbXY0u+D/ag4MLWyttB77W7Vq/uNWe8tmtR7zGQOHcrsPPQ8chs6ZyU7JfkmqAD4qLo8R1T
c81OtVl+6Rlc7sYtvGi0l2+5T5KYPY3vZWbWJ61JvxMtmJ2ylXlQY4zi3NbTvKucSRGJkg7vBqaz
XZr3lziXkj1qYwPLbhnExtIBR/CcFBFDml/bK8FZZKFMSwTz8cIt/AutFAD3KtmsoQgSeUJ3g0pZ
U+RY6EBi6rykJ1lX1UcqVjKn6CGSudPbS0Si9f3SePnOrLXgssDCD0CwmLGt8MLi+zQu8wWd+hj4
KUGZ3EjTmPSTTvTOsfZwF4rB8nftrJkRsSG8ls3GOdARKpparV/OTh4cx9R4AMIb7Gmu9GejCaxq
Z3Ltv/diniGncixFubhyDzl4DNMRPx8JisZM0FpCjkJPwkZj6iMazsCgSxoQ0+0kroyXpP9utfN4
SJ2UPY8N3N9jJ5vCjDz1XdG48p7xrIGvrez3qLYyxRBOgxfuqzefKE4weqW6bNTmL6jK8hWrQutF
rnKXQ5BP5EMw0fZjsgtRl0y2RYVoMQsygDLasEG9E31GU48XFhEc0aUw+1DwXl2BzxSX5KFhfjd1
84Rmoo+tLOOt6ncA0WXY0HAJSYFxLoTbqS/rbBVRtxmYGUId5yq2Jq0lwMVdv4pKd+i21eujKESL
J7cPjmp1glM9JsttXlprPCWjvChrYUeuWWH5cCEaVnNa7nrbsu+8nhZzm2yqg7TDDqkLfy+1iRnL
FjU3OxD1wLcWL56b4pXVl3lvJxtbM5i0vQRlgFC2vqsMjb0cQswpzy1lhSgn41RLgydQG8YBjq6x
c602O/mTSnbBnNhXLZ0/Qo9m7Z6QQP/akOtysYU7V6TbBcAOpNvVP+xUXmM/8M6BQvcO0m4mqqVC
N4ZIJyuvRL8aJ8G0RUY52LnLak2s17HwFlCEzow81yRm/TJbSOOCs1foPwR2oiq20SWpWC/06bRK
GUSi1rrDaFTO61yNOUF3ZV6c7SHtv9dW4RId19sTEzijMVLnFUOQDjqq7PHRtQ0qFE015d7LnOlb
WxhtNFTzVhcIeYfvpooR6zftDpN+fqmpTbeLPbHwePzq7IR+vjsHsm9tFLY0DsO5dXJcin7SR3Cv
nZvFTPIj1EPxzRQw7aOODMHt3gBs30qkorDYh7Z0wcLpm3NgEoLnN2J49wn/EsxKOELv9bJnw0H9
u3xwjiZEYNGSe8HUgXeA2MSzl+giiVNnw8RneU24knBuVjzo91orBF83t7L9WOYlPkMmQVFNkZfF
tqvENyVGplsZYgucv+zOyKLlxX+KLwmc9hHHaP8uoPj4semAgw2NeusmqWUxd5Sh7oMqJWXZVjDi
bp/sMi4yszrRuG/OFfbvo633ZEi2M4txV6RFWAvijuLM6dncg7rV7ps0GJ9y00pv0ppKo3FccZ2u
n58ikC+WtrENEim3RZlAwo8BgFCYBx7lSSClccsy2LxbwuUUrKX4oz6zOd2UhSisOz7OZjw/ZIY2
PmU5YQShITW/IRunWw5p7S6X+kT+I2DROU43U1hLsfWKzrSO+mUrf3EPvXqDqmAS8BVo7CC8qtXy
gdEgP6g1aYmzzAOCSmawFsuG6QxbYVXQswL5C7UDjbW/HSIwNfib3hDExDa0+2vLwRk1pJTAlI8K
5120eLkodrIOln1L3F8schSxAZjzD1JrpyPEEjjGhvkVcfwzYASLIR/blAYePB5RRF9NnWm/TgJX
M7DR8lIHRv5morFTWHggZ15iIPaJLDHKWLdJqcgJ/DjU3MJjGkC60Y0Mx56qqROqOjizcRP3oqzl
Et3AHHcS3Wy73VkTctD9lHbug0bCAOGkqQ7RrLFtLbR6nm2QZNQbc0t8+ciDQyIFtRKHFOrBtOR/
Wm2PW98BA8FguNVIqlnlXYNelnuJxzG2gaO8BOSZANPMaQaSnbIzVSKuS6QN52IkhmYirhRPYjY9
pYQho253zOoNtHzpXgzV6k1QZOeUi5QTpKepflA7Jy0zPRqFlVSYZ61ixC8OVQkIfMwXasynNoGW
00sLn7bnrlV6KtlK4mTd/kNCIZXEOi43N0ogovoTeiTfvGSy1GPdtJRgFaSW6vSsaMh4y/jGaRO0
O8XDD4BGUUJ5CvaItlBccYzRcZNRAPa+3T/r+L4jDL5O1DuEZUZ1QCSJwnGMi9AW35ZiLPddDtd1
nNjV9HJej7CYKOSyxh2fhrx68zrqdoJAxas/V1Yed8uWT7hdu2DzkV6s69b7czLtHlOtdTJ4Ye9K
a8oPCTq6JvKdoToNpNN9BT3bfrUXgz3ZrEwzbBT30xr87pYTgH9epI5zfuaw5VZN/9yQJvqssBKf
dDW0b8NWUzdZUEUZuYRzZK+VIpWpmkcgsWl9AoNBtdh4Vsie5d3VVjc+6QYRsGSYtF+dviMfxqay
FQanlrhrVt68oTX6Z7PgIC9lJa6JN8IHm9iq/TokDY1wf6AiTWwbN2PrrLwjPZFwwK0N/nDQV/m9
bRRXpV4JXaUqD53cXo/ML+WFFJJuiMkgI1TBtnRlNTQdZ/E2Mr4pX5Cg+mdj5ngLqSk4p4boLvLF
a84uuN8Ds57l0OimE7V+Mz0xguJYNS/5wd9O3kyIxHUNUfvogeD+wjBo/fB5S9dd7q/ilQSD20l5
4ht5TRxzdCe9MRoblsCcMRm0+UsbbStYtk+t7C370ke400Ut85bzYs3VydheVcVJlo2knGPS3sSb
IxW8t64u8FIzK9mNU86JdDs05Ern4JQpW97pTcedaQu2gM81UDRpAyIwNZfLEjUPoXndzHnawh9M
Q4tvV3nL5ZpC11ETXY3PxxBMIwt42oB+UqO2XNkpJ02rX+Td50m7sXh88ABVYOk5scIzqU5QO/Jj
ZbORVcyXzmPiMhjfjmVaqnEZkMN6EY0eLv3WQFlzEEal4CA+Z9lH55MNuvK6NZFaUjaBeWOn+Sld
A12o8l4KpCeEOZXBxrqCQ9zCqpEjeA/AItzidAYrr0A6hcxLTQ7PK68gw2xaHwm5zBypdUJaR4LT
goJHEIoQsRYNsK4IFCT8rxJ+ERuN3tFwYJhFr51ODPQU+bJaNg0KZ5jld1iVRBnrw/KlgTsQJmZX
nbTtUIuTiGWNkxRJUtsJeYsUC/0ellbUrDl/U21yyJYrS5xl8Os/z80euKArVdIza1rg5pqu/dD1
dStTvC06oKrZpGSPsOU/jyYRhHthcyRvWiO5142qOYvWLIFB2/7ZH3r50hr0LogLo5eBbLI5z0j5
byabCpc0noHFXTP7d7xC7ZtKOzI6dJIaZo91tp0zLmHmEOmuA3HDU12OBj6lmiM0BO/jQCbReXue
ZbctwxhGenLGKzpBQe5Ra5QdPx4McrnMkTE8Zlu3cZbFtgtQGL8ZPo+EvY6gsiXBRZmRpDcegd17
o9ueH8gRoCDo/1QuXyfZug6fZYUf0JkCtVHe1/PE6Z0Y19hFhvP4uTcYA6230U+zG48ln/M+zatJ
c+wbL9Uctoo58M8y4ArLpTQf5458nqAGMuUSz36yOYYASy6MR+ECh8lHbmRAY+60VHpzBvLXnB2T
4qHe7kFGvfTaIzYT+25tKYpmg9WMnM2nZaY8ESV9Eb2tzEeiz1lsWcdeQAOJV6wLxFox2Ik+WzHT
QLPIh69zkTbZTLoTjYye1URElJflfguKB+iv4MoOFJk1LzamfovuU1vxUiz61L5VpkZjcKZXR2YH
JdpAwWJB3YxNmno7Nnsens9lVnlcDU7s5GK3dvrMaWoR4WLWWx1HRPiF6ix123FY/iI8qiVtnTkq
Tv3ExdRZ3rKJ96gkwvNZdydBbW3xrGl6cq9m+hRmper8BKVdXsyionmzLZUYZcxdV1rlDRhFyItu
7tBtAK5myYD9IeOoyjvZ0RVEDL9cIZnH4SG98Ye3ZT0PfHQSiUte3Dyg+CNtS3yD1UPJIYGLn4qG
lywXJJ5AWHubJoertnqadTL9jFdlKrkGQ6VThU6zfKEqKexwVIRjhaAaAuqW0SGeBiIYbHZC+J7a
NiEYBGB8PI3c8MXHt1CatDI///XzxVzqgi1GIyP3uzOzpwo2lVOzDuoWLOCyrzOY32Sk8ELntrxI
PYdFhhlPeoOZhdH26uTrlXBXKuHZWyB0lh+jvbYuyYQcHD4bdB7RqzaIwft5qwIWJSmFCXUeDxzg
+MYzAfcFxn7ffiVnMYOYQAd84CC7Gx3iqcKSDMuLIRl+pS8zfpY5bC1vLFSY4LBAAobeRg1/GpCN
rdXWRFANRzunORzhUnduPHcwd+kAo2yxWdqygOJ7SHV166U484reAUhDcZAmDWeXxpIXvUUcTTML
+TKOtn0DPVB9YUlYfzHM+9tYefuwm10fWSgC/r8Rdxnwld6kWf1Ry7eE6p6AvUVwFtONIrvRRg4m
dCsoRI2JQxFQOUorWhlbSHL7tRC0Vj9v9r9PDT5H9n8dGlhI52wkQMiB7L/JjlLwEibJRP2xri2C
YpG1buyEUZ7XWZsOXTdmMaf3dbcwi6TQGWmyFYQGHbxsO8lhCrgvZh4qXLesBonTvou88u58NwWK
MQDsTLSulaEcnF8K+P9+UjHAf29330NC/DfLSmeSMJum2nBMNVNeJKhNts491aMsZAdBcJtEEGEQ
T6yJb/3CLtLMDefCcXB+n73876jyF6NKBH42A8T//6jy8Yf62v95Tvn7T/w+pwys3xzmVIjrAjSU
HqOz/55TIqf8jZkPEzvuLGXSxt/+Y1DpMsJ0+aNtdvgfnvwfqHnT+Q1gPVUEY0/ep23w+T9AzRt4
rP56HEZ8j1xtG+vZfCAL0fNfFxh90LRJtq1+mqXZPU+a7YV9tXz3lVldr4YmoQJDI1SYpe/RCl31
vZhe3KmQ+GK0B8n05WJcKGKl761Xdjtqp4VSNoFoVGS3YyO1r6PntSEdAF0ebT/hLIH1Ie1vG89Z
rDvbzksTMSBJGt5pNTrfvA7sVW+/9JU0R3pK5dpaB1EOQlz5otM9uHETSDtAtME01MC8E+TU+5WM
XeJExNx18gs7NC9A6DWkbV1kgXLNUJpJMOwodO1+n1W2idHdxjJK8kZT0ioALrtA2s85jhgXNGrN
J3tJe5R4mJFaNnk7Uf4Bd/LinEbaUVC1UA54xWOyaNo4hYa3qV+z1mEVaxL/PUW27cWrSQSX3HUZ
Z3GXdqUH5FatHZaagY/QH0rVmpcoglZAcW6QXSaFQR00DwRG7CdIONNu5dDgx35bHOu0Fa+qQeIf
YoMZjgWDqN1MF+p1mRygalu4bk7KbroppkJGUFeSqIxjYc5PxRbPyzCsoOkUpMdyTrOVE0KaPecq
J+RsIebX89VVa3eXCIHGZ9o2DTjj/tb6DAVupoC9lKBgEI8zWpj5daXJFpm0C0tlnVJVPqlpIHl6
yxrGkvQtzdtuZyXl+LD6I9OyVSPrmUuqWVhyceXPh97LvL1PnDEWmPtpzZ/cyvwgwm+4XLfk46BM
r9dMelE9Dq+o0S9qxhrHcshFDIMmhlho4mYkXVkI3dh3cr3N0ppQXrN8ErqWx2PHwaKspx9u3rhX
tbsmt2CDXaStihnNOCLjYgsoyfFgc6cBodbpxiwsN54mZgvojis6C1N2Tsaqu/KHjfUNm+DkIYGn
OUM5MVJ3R2sv/W/5aE4HWN75N2Z5ikpugU4uHe0+FbRemyL9wQi6vXG04YGUGPXA8b066KJGS08B
dWxKl1ztXHdDC960FjbEZQ++Y59YF7J9xwawp51HPgoJpYeJxO3WKesTkWmE2rN2hLjG8QEwLPrW
boHdkwMXM03pDAd63ZOkatVhv+V8O1vit6NPFTol2rW+qR6NLRu8q8onjbDwdUsNr3vgiM6gPRMF
T5MOSvVFJp0AoSGx49ZIAPm4enSPh7AoZzrl/STh+Y2LXp7rqRwvXXfgjR87H3+LvWofkEqAR0y+
jzSwRbuQxl0xkaKy1Eo7Quoc7xdjmr2HCrraLWN/0r1l0uXXAk/bnmglf5d4MM0io4KDDrBwiAad
psYhhzx3Ada4o0yjT0JktNWUiCwYfI1bEryeTNMtIFkjmiYeizTYcuN9pZZ3jq26vks9G8bngAzI
pOCfAyhp3JpIA/OjIsmnZQjQz8OHIeUGuJ8TEhYVVNiPpegD3rU5wFtj61IgEfKd/pUp1jyZRIZz
QDIm5jhZE9SHOfdFlEnNPOggYxh5UEEuhUtV0bJKqBmCFWzhnQP2kNjyzdYipLVLgrUCNwaL0/TX
F4Uh84n+pLoGLv6VV+rZhC4C8axsd7UkM06T9jVO0DLuQH5fNlr+jqazi3OGQk91VzCScKmUr2BF
TGSxj6sVr0Zt3BKV+EVWZumjwLeIz7MrRijBsLc8azpPpDXe41vUHhDfe1/N2slj0LQyWuuAuPEx
zTZnvTKZINPo2S/Vol+5ydKSRQ8gOB2G4brqs3bH39PsW01fDt321pZ2gmN0nSzmro7aEZWXHbxq
usX5m+/ypT/Ohp4RZzys216yUnklbnM3Wwu42NY52lMdfO/M/s5TdjaHPa20I52oF5fmXkinQNsB
AT7ZdGtiTsuWFQ6GGD6S1rZ3hTZol8voZHsCyY240ddgJ1qVhwtY3D0dSNYDf7nOZ5/jEpjbqyUP
ihC0iRfnjTJDBT8vmjzotYyE00MWgKyn2eNHUM3HUBjdYdHSjjV4uApGVq3VYqYaIMGOiJlvTkMJ
/xVzm4PYZL7H/23CUCd8smWoS7pfG+B8RBWwyODU6VOCuFfpoecG9fcFURqyGmuIRkPTOKaUktS0
lsEB7NP+MciLgG5cuYB4qQJOr/IUEE5CwpP4UNL7Uudeu1sDWoE65GwC7oM10mybI3SjGGSMtWIQ
Kt8BgF8RbDReGkxlwnXe8s04191goNfPJrbHXaMvxX7OB/20gpM40oGmxSSAoU5kkNIVKquQFssC
fraoSJIvWe+k+8ZgfwkbHz5gVg5vDGDKSxJ5k9BYmioEUbKEgqj1M89Af+hze2PHcSpzq2APL+8N
YyxE1BUOLXYRJ7lKaLOQ2lew9KOT/VYLY470aqBJWppJlJEaeD3b/sTmborQ1dPX1nA+yDb7YdOs
3VcOBcOk7Oeaaj+qy14yjtvA2J3dhZD2hw8m5mQb9EUZ2yyioYc86BbQQnEXmK04YbNdzxMelP3s
lW9jnegxi2nLqp1Pz/7SsmEM1gPSzibC6AeVXvms64BNv5nNYEa1CeZztGt3X0wwRptAa/Z9sdZn
yBLzblhWm/708q3PEiIPMCmGc8BnYLRWgseU/hOamfW2pNHPBQUv64aZB5OPCyb4+NNQFq+89uVA
fGDjP0rP4WctfXnoxuSETGqONPQld2NfzbfOkBSvHqRqPNT0JKsUGmTbHy1aNxbSCM6RTp9woUkR
tb+Qh7mh8UmxghK+sxHlmpHsvZQ7Pc1LvEpQnfjCiVpNW/OdcPOGMEfuM5nJRnszGetw1JGwH8m0
8d/msteR9qjvBUEKN6tuabAHGSYcC4biN07tTsSt0idjZRV4aTBWRYE5QVZMHIcnQq/vpR849/Oi
93rEqgkWOzGFGTlgvD8IWCaGgBc15Z6iIm/DxevcgxCGwyvTEPZ67PpgHaORoytJARaC9WWMvEE/
owUvXno30L81qbyoZoascdHCppWp9V65vUPgY25+N9JCq6PVdgOgDvmoTiQCdBJQeFaA+XMW9V2v
/CoW7dg/rHMnT7CTvaspA8IZNO7t6jaXzMsHL57YDtTR0NaCx5lIj/ck9eoow6GCDMXJ0bZ39pUx
5k7c1TMWq9wSkWjFSndewlFtB6u972iC5gSR6f21Kmm6hHrSOqE3iDGN6eoMdTwp3DuNn1eH1OgK
sNbzsDfo1u0En+swdK52IN0hqQ/Sq/JnVrPymS1ufKlmpT+UxZAc9cLLT7ozU/EmEnwlEUgF6pse
1uzizhV6m7xYLnF7MIBcaf4FmskLkelzueN8HFyYkmlRVisDNi0qo9idUn236n13N6xqeCaJZHx3
xIxtsG8DQueL4cZOs+5LC2EHgnvfFkNsSQJN6q2XQ3W1PgXdULcQ+51+fkyR+ZIL69hjEAOzsFyC
OMUy7fKC9+ES031d7/ykcr/Mib+6L2lJOEg8+WqjXI92wIvYKWLxOpeMWbu03WsXbvYrQjdXo1gZ
H6q1WYy4zxrtCslS/prUTrPvEr+243qlFzmOjU4KS5EizrFLDWVcPdfPeqKSu4n/9ahqlteuDh7m
mtqYgMfxW1MDJtcyr9i7w5pedg0ladVMcgiHeqofjWwGL6p75mH26/KM+p848XqAbJ7KKhLaWjEf
6KBdzkYz3xG73HUxfP06BKcJvbgwxnPdrMRimAW0JE+loJ6tZLn3vaJrb1SaKQdKldKlW0a+50Ko
fa+Zsiy9HzIzJHL2nXIzJxIyBBo72w/tkLplzzK2tL7X9ccCORmO0GKZ1ssKKmXk9oWxq1bRdEwi
MtZR5VeK0sm1jkPmOs8mjeYxBmwovGNX8i5+g/nARE9DXn+GBIw7kEe4K3amn9JLNhm1RcTXzKw+
Q9eep0ETx7EPjHt4rZwFGDkfViZ78UQ22oWkAXzqeCZpdlj5GX1XHiXm6H3U9Fjpm2/RrF1OMOqB
5BQo+EGSvxoGMdm1HczkWTIF8Pt1JRMTdd6P1hfpEaAPJTidbC2Seec9rcWs7wg5WO1d0Fc0/rEg
f2W+21/SJnZIuKiuW28DAfDXXqymHDZjpnhh5lPfzzOClVUgizFrW8ROZlgiNDLACmnZDyEac6oD
iaVXlZMRQQdur21b1rHFZ/zSU0XuwE8G0YpAaJey11Gcy2WnzG5AL+WdSBWd4paD+/2Q5sG+K3Xz
q2Mr+1iXnQiTkpWJnq0fEo+WHfIUOiHGKP9s5TVaqrLP5m9VQO8LdtCNpbLgnRHVzcQnCbtBR5tk
mgvwn0pSSo3pueRICyUysOcdz43ci0A5O/r4nG94KPXQKPJsNyd1tgsqtvFEaeUbShoRknePVSpP
rFib2UmaGRA24iHyFpmuQFEtLIvkI7zBTeBpN4O1LvcQYICnlhWTGFJbHUJsOipwrdpVS5b9EMK1
iQPKcxZamRKcrPHu9iz8o2CQX2UVGTVVTeMbXZSn5uUuG/TgelIIfEiFdo8lffAdecgsmLCpLnLd
uPWB0od93yswGCL9SnOtiJt2GUoKO+lfl5rsIkV60c6oEptYnsB6TQO4q9bco6yt86x+1UT/Ki2v
DLPJP9jONnKGZfgOpp84rlxfT0vNyAoA+JjTk4ZAq5q0wo8NbK7wUhfaePUVcE22m7hbTAzUi/A5
RKR+vKzyvSmql76Ytudt1NvdODQliDcL9R8Wh7DKg+SiyHvna8kkIaxTHTqktRh6pDXkG+06kz0v
tZU8t27R8LT03oGYEC8yOzvfMmfKW/oPuh6Pthp9/E76dN0P1NtIgiAlb+0fFK9iE4lUu3VmwJcW
vk7KEke0ApDvsbbB3M6aNO/QB9MREN33IVMwAuu8IJKj9C6IUIyzbBEn4pUlG7BWXphePd2tZZbu
01x+47xGKbY0OfIq5oSnZhRTidCgX56JsWWEOM1XFkqUJ0qpx1yTMvK6wbuEk0vyuFopHJFTJeQq
EOg6ah1Th/EtMOTVbCwkZhTmE76PErC4be+RkPkRQi7/OVNGHVqyI0qd4BAYgYnzuLalgzymNC+b
JTvnWvM6CI/0uD576FzjA6wU9d9CddSg7HjIWvPV2mSeFrzz996pulhPOysWWv2kaOd+CNRUjMwa
3x1Cuh4U38iEyAV263u0ljo6dEjy8SD85G3SR5RoapoAwwfLfC8NEDFh5SfkBtOAmGGj20QbFjXB
rHalnEM5WsE9Sn5nCIXltMiVp4RIJL/LBo03od65etkRBkMpueap4qhDIJPN17kqCdm4mVybwtoo
tTYkFio3UKmvVbOb/MroCdfJxLVJo//EP/BHZeN/mKl5bxcti4f/X+ydWW/dRtqtfxEDFoci63bP
2pplW5Z9Q8iOzXkqTkX++vNQSeOzpRwb6esGGugEiVObZA1vrXcNaXJWDUkzhGJ9mIQ7fY3yZmiP
uZXHeyPX7NsgK/FUN+clDXKWunjUHEnbQvR0Qp0VC6QDvp3VEGwCIYkU9nuqPASER8enEqbJzJYg
DU3zE5LDUzC2n+NwORsm/LZIGzKEY+s6Uhg7L4Xf7rM2ONO37g8QFIN9gLH7ufGB/1pld9uKUn9L
ZeqgPG+vdDzeq6z704Zvv4MU6BMvX91DA652ADMBXbSc6AOrT47cXQAQl9K6nRwP3ZPXXfaR1ewm
0tq2MQ5P0DaRomOEKE4m43Km/aG7qGjCgFzQBLJz/08iqNX9YNnAcNGUbpN6/pzHpJs7/eziVanT
Tda7XyJ/FO+mkNaINJCSttlQT9/8Lhjfsfc5G6zu9Daw2+GsW8AoGinomC3vuiCYAZwlTenzwUc4
KVlde33RbSHPeMPOSSdFenosSoJt7QQXL85HGtL1ARI4IULY+n/yce8tCYxblq+5k5BsK+bceq5l
qek7QtjJOPCIqggCg7VDpq+CnCsSStwsgc4cnwlsifduOc9fqLNYWnFTPqf4Cd3WkxtdL30yfLVS
+T3Wgm6nSqzu3AJD3y+YeWz9NMDevoEl+SE0/nDnOEjlbrQJayz1g7I+goKWtI371Zt8UfIg6lQE
hMqnhqZcSiMfU9fmQKhKwn0hsm5Eqn0CqDgMTmk0vp9j/wMVgv+ujeL6ELdzf2IdzHupO3qOKnzE
zogdPqmcd7FNjHGXuLeh6KLn0lTWNoNgvxUoibAp55JuXU4ORQ3+Q0CrbT8ml9QQvUGbqGuoqKkc
zl7F/rORvd1kxziazAoSFZjCg4VR05TQavG1yijvaFH6MGVr/agbr71s2zCkHVsTKLUZbDC+ucmi
7cy+8EnWWLfdkIZmvx/5D8hd2A7LxyHv4Qk1xEzBoutoV8XV3F27QzNcBcyedms3E+ltbZVekUfZ
6B0HFkoAPcRUTPNEFILTlz3H/FoJsct8KnMZfPY0AaCbfMj6UxMm9aa1DGkGEKVwzI2tAhJZ6Jp3
/tD0gE92jjMU1zCoco4FrZX0pz/9JM7iHcEjGKCCqc0Pcz6afOuy0PZLa1DZBR0XbwQ6BQwPu2x2
o4ugmfJ6T4vgHgbUmgEj7XOTy36H4/F0jAlGuIdt7Hwk96EyO6jiJfd1X9x1bS3IbW5xgu18zXnK
Xlbf4RU7frS8dDi7tLcHKNIqvNYEUHzMaZbfoFaZj3BHBfKOsXPvO9SID3CYub5AM1OXlpU4X+Yi
zc90Jcd3juMChhpnYJXWFdsqdvJhRd5UlyS71O8yFuXkcWINE6jgxtUqzm5A+HvOE4Wl7mUm0P0f
ejn5fOky20e9jrOdybu7Je7Qoci5cfYuMNR7G9vYc+axVVYFypaiKcWnSKwmSIvEuRekQ98kigYm
4axp+3GQfn2YLE7dmAQxDvuJsHMERHt8FLJjY02hDaGovNS4Y1yME6E4TSfzq0ZUFSyCQNhXNbSJ
D31W9YZdNi13iTXBh9ZexHbSW/dN3jY3/kwyQZmIeN+NS3OcOtLUIeUxSyw99ddhUbpPoLcWh9jU
vLep765ogk6Hoaf6B84MXgJMHuYkg6iNuAXQvs62cdOV10OvvlojpjVsTtFJJn6/s+ZFXKuRpeFm
DjYqrXtRJyK8q4w0F9Psj2dpBeQRyQjKMsFTTBoF91zid9Mlari2dJBfhVJ9IWdN7Mdotg9ZOD/H
8HO3cDG5GYQZsKKISrAyPT/SnY4OgRbJng6/uycOlii2sem2o56dC8KZwGzqvCKMQ4XLLnGN2GHP
GWwI76GWtRf9KS1QA3BVQKatyRbjIOuGuzCowYGFKgr4t85YPBg/SUk057DJ/LzOwbPG/MoK2t3k
074BYxVUGnVyENDWSJpYbnyimPdsaPeda+ZbbGTAgcf8UXXOkwsZd0cG6T71ILKDlDyrSsuNiml4
TFMS7zqrsJGwWvXBEblHWDFxmnH2sIQNVwUPDpBCWLWJ4+UWS1GXJKH2Y9O12Z2MB1rYDjkUbX8c
F2/8bCFP2zqu9QSNhDythQrZtFZ6bEYOahMOzyX03vtpaO+H2ilm2N8hR7tYL4JJYd1iMbfmKDnJ
RQtb78obrT89Kxiu0a7pjWb/36S0wQB6lPeE8AayfWmuYNCaC120f0l+/9e2/k3b2rF9D+Op/3/b
+pqEnuevydB96/uf2td//8n/BKWrP3AlkJgT+L7L5vBjUPra2Za0omlySIiCLuyFv9vXnvMipsU5
n0h076/O9n+S0sUfjrvav1ABS0hc/659/VY9LrAxDnBPoCHOr3sl1FfuLNHygBOAdH1PYEofSYyJ
NmmIgdYPb+furfT1n0ZybNsDgKFn/8ZXqqiwWV/ZvieQYG7jdvO5qWqzmaJk2P77kRhDueibwdjD
9Zf8QPiJeytadJM3p37Kh2002LfdWHJgAID964EglTgedgtyxZVeSe9H1O6q1kvDBSf/nhf598hK
v2f8/38zDMXkal31VrPboxjtEt80bDKT2qsQTWwHGY/mcfpfvDrmKrp+fK1Rfr+224tBiT1CyxpS
7Ut9ZbhUEcDqQKGtst88lPyZNMGcxu8L2RvEDldIyBg/f6RgLJF+qqk5JdOUIyel4onNI3l3j804
hrtfv8HXFLCXwVzMZAM6nwp8/+fBLMGxE4i6OaGQQZsCE++UhW20qa302Q4RWaSedumrEEf764H/
YdLjJrhGeLyYhLxeXtS3iAkQ3ZygQ9XvBkJzNr4iwpLkCfc362t9YT+StF6eEZoWuwL4PKv652dc
hmyYuU01eECTtV0i791njh29+y8e6IdRVsLVD2trNQYYLbSoJwsM69LR5nEsp+pc6f/u1f0w0qud
acrLpEbHzQQphpmrXfa81FCof7+83gbYQLrzieTBckD66OteyVniAaGuB2f11MM62fhWV296gz/Q
5HpPbUoSE3IXNHsIig6+Rtgb6985Hvv224kCoh5SYalAedCWXs3QGnQ8LOumxFjDqXeASBZdggZ2
5uKV814hWN8JpcWBEGH/ZGtT77LCVbBRveqMowA+jhMMckKp42GrkbB+fRFgBVnkXmAKJA5DkH+f
ua5exIsYrwFlIlT9XBg2joJ6Vzf8K3MSlXuEGg5kGtcH/mvL+1kr52MeOPWFH2WgLCUU06k0/ikK
CMOu50odp4wllQeGXOxuHpCGw0WEUNfCDu779XqSg4vg91K9IwjSO5NWN33lUqmOAnbDmSg8Rsm8
+nIKuzHbJgHXp/3sFfaXjBhOPHb5PRZOJM9lxEPnY98cahU3t0hg611PvAOOTm4Uwc0ZCgVm4fbq
KAnqPLS0EoA20KJZurG2pc3TLSV7Z0mMFI2rCkQjYH9L4pQERWLTSOg04oBPVN1vacm5Z6+ECIyH
a30pbPgiYQmlMVSltQ0K2/kYJ6N/aWKRga3UxaOc0AS1ndt8amXpfIx49mYTTKhbmtIbFn7TGGH9
HjSq37ruzHZjpIciwYKN/9gBX1xCmy7vLSvtP0e8msska5tbOWTfbcE3Hcgp+1iG6XfTTdG7Xi71
xbTuzknX1ZdzsarzNIRhpq/i3kwUtTQPRMF4Fxwq/RZ8MD2OoC4bKpF0zZYeqjOodoi6ckDhG7uN
us1kXH2XlhI3gqz4oxwKXAIdrkMhJC5WXtGRDE4UdXiVQAva5ykvATtKYs09Wo1l28Tvac2vIosg
zT8rQkQ3Zcvdisht4CyUtvVCgqyWxTFFX9vQohsbtZNJND4lUWOpvSPGLiRgJE9BAgDUr6w6XT6G
BHS9RxdZfndgfpx5xnlPLmG0gd0HHy4T6rFmcb+HG8X88bUNTqMxlsiBTJKRiEeDLEybxoWq4fAJ
+sgAUhqniesNyZcWNr1SPXatZtl59mJtR49TdiEdFb56s+boFVOTPGJpHY/HIayyZ4Wn10FVrCMi
ZHDDSOHHHLsxMjCf1fi06CU/cgPv8fy0tJMeMgDGZb9ge9FudBdPA7fGXHyh6db96SysLY9btNgV
k999GOlBfoozz78M5oJtHCmTD2XMcs/YuKz47pRaW5HzJUAM8s9t7FRnE5EBqk3nbHOdfaebqXC8
kO6ZHyIOJFPPXA87GOUJwv8biCjIq+NCEZjJFxpcTt+BpMNtEsJ+9RMVvaOzN+S7pDHJt6pR/sqx
QhElE7lceWJ4arp5PGIGWmqoYEyEZQqrM1f57x0GHiAfpHR2gqatjr/1gw52SQdrq3UQ5o9fhmRO
z2UlEfpE0M84jYP7ZGBRItM2e0Qg4/XYa0WPh3WOi3NEJzzIP4aiWS7JaDuUCwqLeDFNvy3ph3Mh
TLN04/YFk5pd0dwl9DB31ZCpW5e6FoErqz4fCojxYxOh9Mvm/aLZ3cqpH49iPfphAKApLbPntLPC
2xAL5+fCEK/sjr3ArW1CD+JF7tkMzChieqLPg4LeZhdzvRvxkKXdv7CMyrBV2J4PBKBZuqDl0rHn
JF4e3gtJL8mz6VD4bJRas38QJB3cLyk5247WM0S0FjmTD4XgnpxcjX5rYCd7KfYGpdtjYdMFzOaM
TcwZ6p2cGFojrYKvGPYI5MX0NcGks6kKwCZFc3/0sAjRaXHrNmScJpMb8hHK5hbch9K+durLQtC+
36EdoKNSCg/nUN5OGinUIBKpzMuuOyXppz4PxTd7Yrca1zni24u4yaM+vcl8Ex9G0An2OIqZjWX1
/k0W+wegmWVLsiO8AndhR+xrsx0XWX/AiEPdLkFU7Ywd6C0H7rQd+MIZmgatSUWQ1fuxiaNtKKvq
HC1Ded8N7D1WzO4xKRZ9DhltN6p6OLgZhqZxNaY3UBjsL0oMPY10LFEQEdyGeVecgMLGY5Zg6wdl
07rudXrrpu74ZGVZdzubpL+OsuUjCcTTR/g/UERnQmO8RfinRaULgsC2vG0sHd0V+aegJdEW6fL3
GngOnkr6gfX8qEc7PjkhHTS4ky3MOheb3Bn3AI7F+Mjm/sXy62HjBBx6qzHdhZUmxSNZstVZV+w4
dhli9WGLZnVhpx/61yZLqDh2eXyDA9e/aZNLg2tFiO8raXBmOOEP6OkjcsWNg5hu2vSdyiCOFgWb
WcY9s2WKZKrc4muTX1RTayvigoPVd1iXejeP7aI3RUMXE/CzBYv0o6ldI9ydD13plOepdcszJAu7
QSGI0N8tumE3CPwJC4RMpg7k5Tw5plw4fArN/lcGU/TQokfEljvPSGf20rFMzlOmXBKinTIawzOG
FND3IjlAjgMUUZjBbaAlBd+7OUtoZ455+a3xQetEGgcXBhUiNj2z0qvWxreRjBn29Tlcrca2ve77
u0oGcLQyiAsEn4VxhqFeoj2I/ANtX/ae7nOY2zleHKZ4N2WuwYlHSKRC1PfYBDTBPJ6rAp4SnZAv
XjicmiyDJj1D9fR87Nkcyfpi4xjvfT+zroVb0SMHTSfM0HPmI+vUcTd1hs56KML+5LSERpg2es4T
P9/TfM/3L/YpddCKJ4zuzM3AGQ1HNtagS54zWFtVuMsNyzX+GhcBXgm56CxEhLSrs8KyLlLj2+Eh
iEv2N0+yfUPrGLZc2LxpM3mYdu4aHviUo2lFbQu49xuTqrfufWtBLBzcKgL8wd7cAhviqUD0hvyU
lKV3Bu0tv9cuEa6bqQfHLDcxbO59URS8tgQ2680oqSxEjk80IKmzxW6GNkBdnUMHacXscNXp0oZm
bwGH8NJzMFuqNO2QXHZq349t2mx6uoeneA1ucg03pb0XlNE74vy8Z1diAbiB0T4eQ0sE93jMsN1G
s8FsO02zzy97YFXZCiSXxuNvLRXXa8ZP1ypFHRFyo1I+qhyikX6+8MBwiL2hs4sTOiv2Xmcarwnc
A8oMNTVTT5l9M2NNS9t5ocbKla4v2fz8y94t8bgQ6nf3Zlze3v4eABvy6+iyAm/8/HuC2InZD/g9
uhSPg40iLud8mYL0uSqGhwgc+PDrG9+bizqTweam7nmCuwm93J8H7LzRL2OEcaexpSCtIsjfWHhq
Is2T+tLy4OX9ery3NsDrgIG/eogS3/Am1KDSFHuezIl/CdvJ2rBj1ru0q8ZmlzGxepIc9xAwqI39
cLp7OYKnesHzOnEmcaCdbG0jssSfyZkfj6ajxvn173tzz6bfg5ssPk2sEN7Lq/eBN/okMWtNT4r7
9tG34vqygb78mzX4BrFgFIAKAs3IKcQ6/NV9cEiHEfZunZ6kR+UKwmyRRiT7bYuiiRzyvCYlPKNy
R0A8Pv36AZ0VKfh5ylMfoPiilYMv15vAxxnwe9Tw+E5eN8XRqfCw9rCiSH0uB+pS9AX+fKssXz1W
3vyYq7n9bjX+ysIc/Xjb11WSrpud7jdtMYTwdVCeHKB4aRiEMVp6nE7+bCMR9RdWRJPmL8Tlf3j1
7/BqgT7qhw/91hEy/Ur0yHP1o9KK2nD9Q39D1aHzB56ELHIETZjB+pK98G9HSGX/4SGyUsQX+rjL
QtL8P6g6/INoDjwFpXJJQPHXqfp/ULVUa2DYCl2yaEix/TdKq1dbH8gWtHMPyxa8R6FOvzZVbY2F
T1XR0fJBN963EIXL1JxoW6NSTuwKR/Q6mYmfz3JhTdSbxJPhFZI0aOBV4z8H6Vg5AgMlwnsMtvpy
IRmQxDsvu4yd1io2OLiwttqqw/7whzd99xb7XlfrDyvKYUMGh17tl9k4fLaNn/fQsBumAqdtfenG
tnkQcCK3PjXS1TwGNjremWvprwfkJHgzpGfTdKAtRRwyX/PVOWGlhdtYQx0jKlFXdR9Y2bagZyiP
RGfELd59rdWehLax5Zla1Zrt4I2BBwuCjefgx4moL6IA28fNMhKtuKlkBIjh9NLchVWKdVpdDdy2
Vnl84Yh+OXpRVV+S9k3kI4AKR7bII7prrW7LZesTZ4wkfKp415YczUOxUBk4YvGf+6qpu03Whgyl
wALivQ6iteL3I+FsIJMCCUi+CJVt3w3DARP2+XqGUPxeC5dJMLns9drl7J09S5E32TfiRiMPSLdB
nM7xHq8MNFogKubOTjw4Rm0SO++FgM66SYOOZ+s0XjtWMpu7WE78DOOkodm7vtN8csaJlHlZO21y
a5KSX6Rm373glE3MB42TJxkMrYUU18kS0eEzTEfihnSOwDrIYJbNk4P2Pjn3Gn5ZEHcFFCaHwPQH
unfo693CMR/pqBvrs+v0vLm0I4UVrnht6gvdhJR3Ixm/yzaSGOhQuI/802bI+XVONlJQmaW1x42F
1C1ZvU6A82pdrZZKMHlSslUr/zljC39EX6gex0Hzx7GQ4DbTpvI+AeFZtja0SGg4s8dXkB6trqcE
M8fmhIRwJQBjnDxANnF5LalVACIYH8Xuu3mp+azjmn98iR96kZyX9ZMg7wNvbNOc79e49aVqLYCN
tOgtRB0jLLQknpZ7K7QTswGdMqfVyCjEJSUVBK/BNcA0ARc+qnsZTMGOZnCxx4Iw3kFTEqsFl5nf
o9zubzh9uBiVGVxspOkDHoJZ71/PcywfrTEQN9PYFHeum8fPDsjECfiKTn8Km+u5ivPxY+PamcHf
hSmbTKi+x2nsw22SrQV1WUT5fHaMRGPjwyt5tIhE6e+dFAXYzh8Dps1It3zNXimlvkWh4mOw7ccI
MJHbta5YkDyHCUqhjBnpfAUu5dtBQvcm9E/z0HziL8vse2Mm85CWNviCxJR6W8fMkQ67gwGikxLv
sVPl8xTwJ+XGiia+LR468NKWACEjb4bFFWQVizJv6ik6dDYsyqcu8s0DUlUWgrUEvOAUhr885tgG
XPqYBkJtNR2X7TEDMMwix9zRvGhPQ7LM5sqtBl59UA8r+83k2UK/vwOXwxGX9xKo1ctq8ClwqyR3
9Pt8WSzr0RqCpb3qHW3pu9lgx3YoqIenDwt0EfUh9ewyf4jGDK+o0oJdE42ue7GMa02/zCXvkgsd
79LYE7cApWJeBD0ofYrQAhiqhojV07Q46m5fJnJuLD5cjZ2chg+/LooeGuayMTCmcFzwaviNg4XZ
KN2nRD6ZIhyc2wzlaovKRuT118CdxE0ioZ3Doy0ZE9JdZk5BFOvssxYarvXGH/BGdKOwzz9qdggB
7SZafH1bl1UlQ2obK1L7oIgtvXdyggQ2NtPp3LUB37wvtLjJ+sU1H0No//k3P6gcBwBoRpO2L+GE
Orcl58/SbhDnxvIiqpxVR1PX0rYvEsflgu6LFVy3CDHCvXTBziONw5sKr/EnfxyQNy3iXYBIZtqK
sh4+4D9r7XECSHZMjG7rIi+7cAsFFwWeb74p03HaCFfM/i4JSv8E7CLX8KAMPgIYNnebg8ftu8po
AsxRxSZTXzTQZx87H22IW9qfLXCWTY9kbpPPVb9Jk8mEJ5E78Zeii4JvJnYjyFm6uu0LeTVAoZr3
eaHNvayD+DM6k2pfckjtKPvcB5pu1WfhJeXBqWywHgiC/sbuA32n4jknpS7nsgihsrhOm7j44GRd
gBKz6w+LBdnGGg2pTBpHIppOcDALBEA+8MJ+wLjnnm29+ZypIXk3esXdFNgmO+q28w7t3KI3o+48
wg9G4dvJ4gORd1180H2F1x0H2K7I2+VcWCo/YJ0My7idIPsUAdBJOrr1ew6d5qnyofvvsqWrDrCS
648JCiBebYkZUyh92NYyGMxNI427iYFBdjHay+/w4OGQ4RlxctZExAmDqhsfErG3S2y/mjdmphzY
ddoZQUPh7YVFO69dLre+CBLjHGJf3GdR3RxtzOx3mmd8wp8G6AcrVnlRcR0e93MZDDctGut3qknk
0eqW/OBbZF0QwL2EOOlLeWMlfXvJhj2fiJCZLyZLKOIg8mk/d1pve9zEtu0wZ9gPdfL9mI7Ln7Zd
ZOhA1ILQQqti9+sK5U0xh/c4gE/wcql0uez9XBK1demGWYF7jOkbsIxqxVQnl0PIs8BjIU/XlxGr
/PTrUV9d3ijEAngYBMuu7tsBSZU/j+pFSxIkk6/OLez+TxjtsjE0vUON8etxXrXzXsaRq/cAVzhc
0l8nYY9JLRFexNEZdv26p9qaPXs19fJNxIbx7wdbW768TgEz5LUpP+KJzoopAs9hQeeiXs2XXvgB
qKzU/tdDvS1kuZTjC0YtbpMw8bqR3sYqaCxjy7MrZ3FTraY+PkRNYLi+vuwCbPD+9XiCewjCKmVL
HMhfNbUFyv26KkqUICaJHv86gqrE5sTwq7Wl0aUzr/fXY766evPteDjySzhUPD7e62J9LmOvRyjl
nbHMoroKkFpAllTcVXGWA9IEk+NPbS0kRzShAJTNv56kdOHwvAhtwn8c33710HXltbYpMAVE76BP
04QvkBHT7xKP3y4FRiGdQhGx668WGj8vhSJypipKO3mOcZ46zSleT0H42zSYfxqFC2WIrBU4401v
Xfau0/oWz/LCvJAp7Rv8u/6LaeKTBGu7KPvD1cX/52fJW1qzDbYSZwf5+5EMESbFOOOfv4fSIW76
xozLb650b/cv9nR2Ex6LDEeG/XnIKoUkORXSO1t1JJ8E8k96oyOlyEDm2L7CMA3qebcwRX49O9/u
LER9QJkhDp4o1TcrggRpBDGN72Aaz+qOavbJXkKYWTIs6n491D88IpMDahM1OBE3rzfLAENohiod
TBlWQ6dS1LhL0J5Eo8SOvd7gzDprfj3oPz0fKV8hxDYfOob7aoceMf1zEyXFuZDQWKoSykJhh8mR
i85vV/oLivbzvVyBTvgkVQYqCN+utLXnabOf0CrtcOTKROmTGwl3/6EZF31T40NP52KmTDYTdR2N
t7m7GVuMhw/0rzwuFzXdQiwa/yQ/y6XqXGAg34W5bH4XePx248WV0w1WvhQMJvGaalal/pTitssM
L8FMt2mEh1tmLM5LsqqZapmirP/1lxBv1+4aVk1dCRQJz+01JyUuwEsizrizFVrUuiZ0uT+gqsMU
WAuOzKSJ1vmepeKmxTfiEz5mi4ACrcxD2zntasMwLO2BKgmjL+w5k399OIBGw5yEp+by7V5wzB+4
SHZL1MMYsurLJaTotv3ss4jplHeoS1KM0ezfwThv5iakwnU1AOUwRb3XA7Zptxb983Ievch77rBA
zTZzWzFNzdre+PXr/6fBwI1cSEmKreb1KQCVQhGxq+azielr47KjruwOoQguJA23pF8P9uZT82Qh
1jLCJtSF7ezVqkOiIZousuezjHwulnHaM7NYiNwSfz2Q88qRCyos2+VaPMBn5Eh/XRkVUKeNbIKJ
CkIn3Z3NHW7YWmHXk8RJoGF32SDE0nsvxgUSPS9dt6IJXA2WvB6DdWsekjQHJ7AmLks0+3AmXQL6
x7YlgbJAvdyDXazox9TmXI4n2iV3fYVDePlvN+KXNHfaZJxrkD9fl0JpRYhBUHbd2VnoH090KS6x
Qk2PsY0P0q9f2pvFz1DMAY9WAJDem44ImiinHw0ScQ2dGM/FjOdv61btLcfUl15lfosfrqfXDxsj
mD/7ocPSpwkAAfn1V6qW0hWt9r2zbI33jWDv8Yy8QT2+ACIy6EB1WrRjH2pjnN8cAM7rKeKtJE3I
mi4jrz1I3/35aPUKCAbwXLKzIKqhXHBXR2tEIg3Ofa6zJYcx/IIbdO7txppm742KoUIg9YpT7Ghm
mBSOk80P9lCCIi75ite0OlgvFkhRFswNmEe6RHqNTbtI7wK00BX/JXRCJwUfiDZxHrr1vZ919PjX
6VVYHAbHudeiOSNvaLqNIztz508GaAw1P7hfDnAEf6IdMa1Ciu3k175t5cgZRV7eT6ANN1r21tF4
qbyrZ6wLjnWA+wcoNgEKdoCv/xWwtF1tu8AfFEY4urnC9YT4g6AgUnlXk6jHBXpJzxgjiy2uqf6A
p7FIWmIlhjb1cbXCI4ssDXfJVlZ1ITLAo6ERhfgTDVUOKG5lrBdlmhUMxcU+uRtnw18HVguXTNZA
lFB2FKmaEpuOdlu1C/90aYO/i88xj0BeFF41eIE1rLWkKnwSfaoOiXYu4pXaipJD5RdxaJmHBo+p
5A6WUFFf5XE79vcd5JtyB52H1V2Lsskf6gU6yU4PvWgPtCDNQ25DNY6lXI3SGtH9aei7LiC8mb98
c2U1eNe6FSsUNRV8ZvyB+YM8uv/sY9q3vGsgNtMbdDLvCvcvSve6GcDm0rzPzUHilbKqw2eQKxxy
AMLDcpbuHvIg/8UBGhqMrMmtLlqTDdY7U6cM3eYLp5ayadu3m6RwO+e2mlBbPojUSrpdznRJ7riv
YnMs5gCffOh73gUi1C7Id0M/WtulqfAZlg5buL/EzKCqGrlIOMGUBgg7IjFdJDgDR5yrAjpLrQsw
rbAZuuVoCu6wG7rloIx0nI1+LypfF5g1+0wwEg6lc2OlmrPhpQ4As18t02IJ1JBIunBnjBHxQY8A
QsIWtK0231WPk1e4jNBKXyA4vxj4MW5ixHsvc/znNEqSaN8NHbzsv5aVXClz9rpmpoDgpueKYHsN
OD+L98KIhC4op2KLIhNiw1ZLn1nUhquFa1L4vFenWzFzN+uGL5CTp/FgICbe/dWaEaH3HPnuWkjE
HrVdWAewPEW2IrEaeH7TEG5/QgwOAv9y/AUScfJdAnYVXPkI+JZNbqcmO9TQPbpLeD4s07Kx6DQU
s8eL9aLRcw+ZcuL0vqtafoiwwU4ODYq7h2oRrfk8mMC1SLAI/Dx/CGtlhmvfFOK9zLLK2w5kRs3f
QotOxh6+uOPdz6IBBU5mamOX9YfSkvOYNgCSvwS4grni0c2BlombTfCRwjzvoWTqHi9+lOZjgwNI
FEEU2LKF+9m50B1o/VwASh5A0JYQSAK22bm0bQPUBkLehwBkyzBm018n/v/6pL/tk3Kq/HD8/kOf
tOtS/ofVxM+t0pc/959WKU1Pm0JwJcms2pkfW6XiD5YYYh6Hiu4/bpT85d89Udf+g14oeIZygFFk
4If/pif6+pyG9MNlkO4qeZ8gFsGrum2w+zBBTxuza1XLNcD5fHSztYeFnxVntI0fzFeYi+1XNJDR
+YfX8k9NzfBVXQK4BZtYwLeRrqu4r70aPQ3S1s8x1booM/K1ghjXdiy52QiWkis+onT71LdrXhwd
wpV/9WJ5Ma4JbLVXzx8WsmRaNPxrqEidSywelJjZSvO1L6FTfJOD2aK8a3KN5VeXpcNyGaXBPOyr
btV+0na8VgGpBCvnOdrMCSHvNy9BXUEWcja3KXEROnEV/UWK0geaUQFy48gcw2liC1xd5ps1Dyyg
nj/XvuG9STyYrnDmwGI3mqrm2VXVcgATw4oZEu7FDESKoD/xLDQdxdzEg34n4Cpa59Akk9jMFl/p
zzF2Y3mY8ORwHjEki9N9OcQG6zcY7f6nxFaQDVdH7z65xI2IcmMzQZ+e7lonwN4giMMJ+0ZlJeGh
zmcRP0yYUlDV5mWL8i8uIYc53djbWOHQj78Q3vpvxtjWB08Gm5jqKFv8EGNCKrBNmxOdb1HD0kQT
U7i46LJzKXDu3JQyQqpFvxszsGWOb8cAp7Iax/Z00wVzix4xbsOnBW8va1+Jyew5ZElxksuu5+/W
egMr6awdb4Iws7ttbsfuqaCqg9mKhGGK4HXr4h4AuTiWurSJvgk5vNSh0WOYEcMs20sMmg6t1zZ3
LR0lJkwTEM+CP+jWmhU2QHI2H/LGz5/sZMbRqKiSrUuzb9unuf9tted44N6w+hSYdoclmDokOPZf
9ISWfMp8yHMY8UMdCnR1kaqqP3sRnCIhiocE9t/9aAD/QffiAF+VllC5SeK0UV0YNb/H6H7UG0up
7ou/utOXJE7ssAxJcU6QiCSmvrwEJej2Ha28LU3g4kM9YojTWiI5xqZWXyXJS8VGRzq7G2kgPscj
jDuiy2f7Rs0hUlpEuNaZTAf+1GxX9r3uiDWZyAx7dJ3ifWY1zieJQXK8ym+/phDcH2XIoqKz6x1I
vvEuYvw50bQZIirc6VuEf9nzAq18r/4fe+fRJLeVZu2/0jF7MHDvhf0iZpNIb8pbbhClIgnvPX79
PChK3RT1jTTaa9URamZlJhLmNec8pyzAxnFPaN/qudnEMw9RyEjGKimHU2+E5nWKQHar+hnBo4Xm
bl/z+D2wcrRgxNniFc82GUp2Tj6WHNqDGycw+o3JRSFQNA8NmoJrNZjFPlGZOhFkB1vRSWcAq6UJ
vycUV+j645cqD+NXftF0N46dOnXFnO67PCcOhQzw9xK5r+/5dWAfo1rNN5XZ9uesZaTETk70K7/E
XD7FLY9XTVPcVghMvDhTrW7dWbcQInJJ7NOx9rVV6UTRMSdp57pzuubc1yp6pnAE0q6mQb+USR9d
2jCpHjoEkwthrjyyF843GqGPryTGxyh5rfaEM5ls4bGz46M+27PciizMbpjS+ocSK8OuncFv6rHr
bOuqN7+ZPcJs2qjpeYyhRwaudsiTErIopD2WrcSpdKEOKIElssiDg3TL02TquHpdtSoTo/vS5WCa
VJKne53+Hm5picNHNOC0o9zeylAnRHy0ql+Af3cnHY7mFsN05Fm5MdzGhUmWVeJM+6Lu1C2DyOml
wyvxjmaiv+WA+Ncjte/zbE8gPI0hW3OdtOsiG2MCvwxM7kZsYYTpiuSxjCgp+dm5WrSh2rp2Un5R
mtXuZicbAeH6ugJKguW4yur2hpxJBJ49lbMXyz7EzW/Kb7MMXW2loxDhVEY766KHIOOiv2Aouin7
1r2ShQxepMP1P5tutR2J+utXkPnhXkaJfnHbxL3SikzeTmMPslg0E5qVYjERpON1WnUl9B8uVAbi
ATpfwkUyD1jpeIhoPI5lQXoN+w9sH53KLx04MPST3GrQw6M2ocySlSHurSkzJUBJzfeaypre2faP
NV/aAVDQNXG8bzBJ/ALMYTNSJR55ljBerQr5OWbLcUjB0+wqI4oeoME1dwEguiu6TXaSBPvQik1J
9djknXs1mlCce9T/b5DsdJ5oICvTqKiCFVePfc6HYfqy0Bomj7YIb0VuDkctyPqdD7TqCvODOspU
LhvGqnoa8AzcwMbz1xOxYTsVjeEtT7by1XK74henze1vE+1NurLaBmmHG3wZgM4uyQkuHNByO6Di
Pk1jY65xJreeVvA5PVdrtIMjkngA4pT2byVC9BQtB0oa4PgaVWloVE9+l7cb6FzFwTGzCOCIFSff
coOOq3H76tkJcsvaGEWQ/aKCwNnl1ehfOuE7p97JETOPc30IXQeRZIIifpI831YpeJWr1tCxGjlZ
c0nEBIsLeN2xKjT0+C2VdWwk5tWQAqLW+rx7drB34QBx+8ZrSP6EEaeG7rYMGuc8a+70VVdd2i0u
FB7X+NiCUzq02kMYmtYrKmJuPfB5DIBqWkyS6NCC3Zhn39+0ulMQs5Grq0j3Qb3luNoSJ53EKvZN
Z2e3xcc5MUTo1V0N5ZEICw/1u/OWMBDf6pF6Y+dWXLQgN++dIGhoLEZ1HloXflgwyRvadd0jPOCy
/IDsGpXYzW2Hhj+PlhRVecH4EB8CiYqzBgZ7UwRSPdpO229GW0u3VVWYOw3cFJIIWlSmH5IFddSs
tUKViI/05tYmgxBOVJ0CJGnLGYpG794LMy63ObPXrU4H9YBlLzS8DPrwTeJXhEfIfnRv04AsRgZV
hTfo6uz49cDPnhn6pdLFpTWs8ei20tnQ4VZfsYfIFmn84O79toJDqcWgXtIGAqc/NTcwFcubZCqr
Pd5IuR+JefRmE4PSMMzuvPNFbT9TC8iHUbkxcnkM8t+cTOteM2KEt1CPXswqtTda7N4qSdAS309f
OAhYAZHVDxHk0jbGTVDW2sHKZYOky7Bqn4d2Nb9HZZ1hhCae7ig76CYFj7cJvganJojyLE7MG5/a
dCtAfp86UllATzm1HcNEnKk/Rm7CVyroqjXWryeSybNrVEBGCf5HN3Y87/JtjwQe3xrpGBrsnL0k
uOTaFjadvG5HrxRoFhy2GLJbNfl7AGq+FyDHhX8kapEczDQQHmc2UgRgZqFXG2MMYlIvKF/7Bo2E
lgx3Vg0YZZjVcLD0CQUFwR9cJ4xGOTlc+wuFb7hBOit3CbmfF1aWFNMjlWq+aqU+3Pd6GjzqSZE+
GpIa0Aga8E+mX1XX8N7d0wwcG5y16R90u+zQ7SN9RPkHdhM7a+8fEBnX8xoBR3yMW9cFxtmLqKPE
dIt9VoGY/6owSzYAOxPm9065UhUhwT2kJfrS+mimYXWLQE9dDKOertyqFms3idAAB9V4DPNhhlDS
Bi+z5Zxiw3oILGwinYyu2GYIvqVxzMCpfCb7Wq5IM0+9yreYZ9kZ+7S5l4dJs/NVP4RqXXUkr5Rq
fqtDUk5t7dYpoRO6YW+tU6R4q6Yiu6do82EHFRU3E06gkRbhFKUi26Rx8MjPorYdwnnPbdxurVKK
Gy2NrnsjUpfGNF5FYzBR6mHhBEmSrpPEqclyTDkw2eCSrYU/x1EQCJlR5McgrNQ275xtCDzoSKD2
dTgZ8knViGQ8ZywyT7fyeivY7nqzNqLfSzrA0UDxVjCLWbMiSp+jWL1ODHB3cTSXxKc5O9c37evR
ChOvtHImPJx+b1pjb1AM+g+oH619iVHwaMpGv4RZGq37AO7M7NQ85powOkSljdijaWePWb7pTUY3
rDCzBlc5yr2tm8TTtanz5WIn3URzm9EnlHXrMY1v/mI2/se21JLEw+PqR63r0B/+foIb+gYgoM6J
DnHW0NZpI3HE9exwlzYJu7s39JyOlFoq55FNys2f96U/LU4WhbK0dCmXbbACZvDTm8/ArUBOltFB
jARQz3FN2E+UhvjC3OTuz9/qp7XJ8lYKjIFisKiDO/rDDqCKYgtZKG9VSnInuUYmVGhTUHz98/cR
Syf94zx+eSPG/y4DB2TYlrUc8B9WXUkxTUad2MGhK/1py9rSOFjdRxh01N5UdcJyCNKvDtLWyN7K
xSTCXYUsKc0Pl+baD/l0Hx/pn/nRX86PiAz54df74/yoyNu3/O33s6OP1/w6O2Jw9InFhsUef1Ht
sD36t8we/fUn3cBxhJIeDwwggH+PkAz3k44JiTUnITwI8BfB1G8ye+MTLigk+yiN0Fkgbfo7IyVj
wc78eLKxd8f0xZWjFEIpVvHLWf/DyVZCcSQQfCI8qyxBU6daxtiSdZvpmaBvp72NKDgnxzUgM2oR
tl4Iu9cACwbhlwZWcMEEI5PEgOkEOhA+XRFLQOlrvc/gcTdkigGaNrJyOhdVUqfP0WzA1mxm/Uus
gpEI0y6B/60jglxy1fte7SLNKh7ttrXloancvj+OKqqHS81dchMy26eDXiBKyWQR48ul6onOb1fm
pJ31biojQAcOWcZxPst1NdWf+04i3ASkdjD6kZZsivG4soDtzNWEHnnrOlw0G6Y/ZugZVhhdUrZD
BwpNe6/VXX3oiywuQePm420PUVfGnVwX0n0eiB3dgatu0RAHxfKppjl+Hs2mRJQJhq9DYhu6cPb2
ZKTUQqwJWPDbdVekMY0WO05QlNjnmJYVzIV5cPjJLFb88hxlfe7ETSQj84i9trkhyTq2TgPwoHeO
CCmI2ED9+mG2yvmAILbRjJNdkyuyiWuxQnhMwu6udsqQIOxRDhfixIhRTvc2Ja/Q861Fr9djujTC
sFX7mC6DPavXJLjf7RMDIOR/sycagnAYAoVQ7kIceUGNAvEgskS4PXW3C3KAibVgmf2xArLtErwd
T9ZeSXHXNKjrU5K3xy9ubpfxNzcWzTdSMug6rmTemBma1swXW6uFuU+yNbkVLyURykvf6fZnEqaT
owXXlANVJ34IobOLD5Hh5mpDBMetEEW90SMs6X6YDNfNlNJfYg/ktByTYj2VSYDyXoijE5P8EAT6
vCWXONklRXgtiIe4a63OIDdVS+U6cqnJvbRqA8JYWtvwDMXR9mTswPRGEdZuUkWMTTbq9ZYyt3kr
ZJm+y7YSiodsY+HXr5YBj+M76SogeVGtciDMx0a1w8pQQUpNAeZxb+Td5zA2+tabC8O80TiCxHwY
ZfA5qA39BAQg24La0Ha9MvK1zdtdGK+VOzGL8TYvWrELh8SJr4lfsCEtOANGUqknJ2rECqMoI8I1
SpR8QdiZVxFGa4IY2tQ4s46cjzll7mqOdRqfLnzjM8ZMOTM4IQDtrbCh8O0M64xADT/AmPifwzp0
t2j++10ZK2OTVEl+7IRdPrImvSLd3bxdzuxrBo362tYVRI1KXObYngDhY9Z3FNhtJyplzREo9W+F
mPRroliCl6CMEJhWBprkHs9fk1ok+0VWsCO+J9khUPNJXV5ACdj9d9Bn3fvA0Jhr4og5A8d9mqV+
nasYpK3mW2f4cCZP+wr2ZtwMz2ZFFCRhK+NwHiMlXzMw8yPN+gyHdUh1dWehe2VA06hvGuCRzGs5
GttkjtsD+IZ3RCCuV0eM1tZaR7zEKgH7el+qYYSKZ/fFu+FMwYMZGwHAYkIjf4GuTvql2zT8jVI7
MBdDQo0PZ1V1pEAOulUcE7AqnoPjeIMqftyqPHD2o2kREAqRGpA4oJtta0I5XdldG52EG3YP9HmJ
l3J8HpqxuuW0Lu4cOZ3dAUCKmfjuXiNADye1AuTq1Bp6ZNdInS+jlYc3bupE0JyK/Isd6e461fEV
YPiGhbOZCoNgeF0QrhzftVntHCaU6euEs/tekNid0YlNkhZe+d7Qzo9w/rFPjWYAdtauYAAgEFox
5FCfiUEA9gE7eD0OwoDSqFsmdNSBdA3IDXeAOCPPsOvhOQkbakAVFxeZlgniJXt8J/S83/RStd+C
ZNAo3iui7NMQsjfyzBeJFuF6FpF73ZPGfDPlwBtFGrQ3sq7LE5AE/Z5+a04Y6tRJtS2KBuJiUelv
LFHrNUzm4g64D0iXiUYCi0enrQyakm8jeVf7vM/tV6w3s7aeObU2M7ccL8TIaK1I4hzgWHPndwaY
wrbTWxdZzQFxDpqi0xLyEXVOeXIGMzwWbl3eVCLs1y06NY6sG05fo6kms6gPqhjXph+uG31K2SKL
huHViKlDkOF3mOuJGAXWy18hUKoNJau7wnlUXMYYIremqvqMSwVava1tGN64lwoNNzDQKQr9g4Ld
dgl1Ua2FrOLPadMTJtqk5cUuneleH0TDfMoK3TvDHdt97zAxK+D3MxHxDVImwSpe132ZPGfMTp4D
J69v8i71SQD1o1M3IpoP2Rg8itqYNqFexLup7qeNP7UVw74cw4HBt2UwQivaHvJ07omltbtHrHsM
oCOjydcagxkP8STBr3qo3yzRF2pjO35xzAfNgOGRDNPJjKcswTROtoJTGIrj2A4vxmhDku5Rs09j
RvccV/58FJGw3iV/X/MKP49uUK4OnhXr7vM0m81eN2Ye9E6uo41ogibaMly0zqT/lA++3deQN9E2
JavAdyJj7QzjuauKessIH+n+P8Vx3kbt9FfF8aIY+rPi+Orr8K/9W1bSjtb0QF8//ujhy3//14fW
6N9OVFv/BHaARgeJ2LJG/dWFastPJgtPyapzUfkiCf9PeWx+QimHmnmxxn+sX/9THstPuFD55wq3
ARWtrv5Wefz74hgyHipzinc8qHwK/edOzNCskbUYIbOY61hHzdy5pRU8/XBQ/j+rVb7ijxX49zdB
8cWCle/5B+VtW/RaiSaTtMwE4cloNzBU7d722By03/u49/H/BV8ZHKY0m/m/8i67KaK8bf77v+hd
/vBWBodlCWCz9T/obQuwWlUcqHk/9hHmHvi9J9C9ePyX+3+KEHCfiRrp0kxIngsl5S/e/ucOGmod
RSCONCEEO/OfO2iZMhUYLMkEMR8eZGY/O4w5//xgLv3+j73zx1uYNFtofTHuWz+Jw+tamzrdF9Xe
FMMDZr0nijGyCjAdUFZXX//8zZDF/vHtUIYiREevR32g/wSMgKvCDJUSYM+qjiDdJBPAVFwtOyam
nx3T3ng0PqAruHBbACyqIH6rSl18X0RPAGlpChJWbBnAWQ5BRh3wNgF06YueADHypQC9NFT7+UpW
AhdQBgqmRuJykHGmfpEx2Oe+aRnUL37autXl04T5edmndgupnJF3WBH4osJEraFHjE8TjcOZemsI
VkraNTf1ys0eLKaXzwTHg5rPWLrBADevTYIT7iyTXrA36owYMyZLXU+ocJDhNlt4MUhTzWrbd/N8
YBB76WKt36os+2bY6V0RGe/0GbcEk2R0Gk52LPXxc8B2ireIrQ335myVqXheJ+UMDH/Brde5WJtN
PHyl+KwONgm4JbhSCnSKfUNm3WYoButqHNWy1LD8owzUk60J8hzCCFRCY5dMNHukY5oLQayBJCzi
mM16FTy0lpF6nZN4utsHOOcCpn+D35PinvqbGK/VhabE60IcHj6uiJPJCj7ZUAmQBRgMU+CyZo67
cRvhEH2obAT4ocOCl8QW+1zix9UxqQv6mXysa+vRgCr8HCZ9fU3YOX+HLD35UIiExqmOuj1bfFx+
dY2KD7cEOZZZVV+KVCdqgxDpLRNITpEM0jApoxNGyBxE89TJbR+l+pNRJEBWeho2LYxk90oYYiUC
T5/EGQto8BAR/LPJIwg0PmP+dVhZy2Y8Wuxf8I3Ovh/Wt+XMsz+rm7PvTuqV+Xj7YHQq2VdaKC5i
VNY+yzkXKky+W/Izxl2eqdeQipeuO+qCbWyrEVpE5N7qgHZ28BLryxxoxc1C3pJNN11YipeV55ap
vq0H7NaFZQaQ06wS7M9oRrvaNboTs3x4o3No3WC73Pq+QrTrt7ZgixawhkvCAy97HvsANJ9frdEy
3pZT8kgrybO9j6EPZXl/YlCa4FLsqS67YLjFOyt2UkX6XiCc3hMIZBzMsqlOExkyaNsCs7jOJp4b
nNHMXvDaBvqt8qvprWEdsRhw83MfxNqJNB8JnsYN11aqgcaLM5RmLFbsdaVXvFuQqILrhX21V0gc
An4ZIt7WHP+VZDEyJp3ABW3vD6eR6t/DZkvtgsgDchxpqFmSaStIs6wJ/W70MjOhDrTS4chyVZwB
2Ttbf+HUFQUU8CyJ8rVlhwQaqmdXzBOMjVa/i8ZJ38tefbb5XTUnDe6TQjdWwuZIq2gmsLVgB0W2
zWo2tHbtk0K/Jq1xicSOL1pTlbdUWZC3q/kLjlNSjTBaTSvHD/qDrwX0SZp+O07ka45FsI81FrWF
SxbpDHSLZZdVPaLas8nLbAai9uDpbTsWXG9Nj3O0CEtr04xbIIHqwTRL18tFgi4jt/vmptNK9cZ9
2zlE2aB2uoBxP/bMYMKwW/TuRjlf+WnSsi/3y+mxEE565oY0M+B1mXBL87UuBlS5rqOtBopLD1uh
pNwOz9S0u5AHwCrr6dtBd6PSTTORXzWZc0h7+ZhkbOmlL3IvYKEBCY5GgMHL2ieQ6hL4yVd/dAEc
Vs3G7qTx1ulG+Uvcqf66NBqynMyUa49bgnUdTfF4xraSHqA/1nvlRMm6GObhpRhRClINLV4xlmCT
l1pcQMT1jssQREufBUYF6tPZuEW7a7GaYOQm0ixuVqTnKRIew3ZjsTHiOrHGL1k2addJRQBg0+Tw
/uz4yQT+tp9c9p1eVaedJ4zR8DCFmJvUwYRB5KhxTlU0VCuw8v111jjaHjWZ5VWV/W4LFbSrHqTd
uvLN+ODEjv2QNqPYofQkCEhCabf7CWk12RUbpjukC0UFjKOxM/dma5rXViQARWlB8NkxNzCPph1J
Qxz+HkKC4M61RgfnbDlI6YPCg+2ZumCdr7WJvDcqa2MhnX5uUVx9HnvwhFZtzc9NrtYAHMgOjcu6
vupE2W6TLObMm+x4b+AuXqWQGtY8PL+RT0LmJb3fFi1Lc+D5OBz6WHHP+M4ra8UHvUwuJLOPR/0/
E/C/LPIxIfxQFf1hAr4U+cevdfN1+n2F//GyX4fgtvoEM8YCdmswZnYxYf2nyjep8rmh2ZKC9Hcy
SkMw6EbruNCXgCKpBX71m6zSAbO+gI/5fxBm6li9/gZqhs7gpyrO1VnimhBvYK/b+N9+KhplBUdj
Sezduz1ZB5jOVbuh1K6TE4wSuK86O9T7gKjHY6FHYXfoqb5vw1Lrs10SEwPj1XWfZiv2wSyt/Q5i
WYf+T5Zj4AUBGLpbNA36btEggGxkQjCP2gCbU7DsBFPnP4wyN1+47N9SQcHBn3rouT7v26SYb5va
fSjKAKBLTkOwKqzUJ9hOsMVjjDdfumFRL3IhM3a1UBi0Zau/uIAK4EhokbzL8yE5NjVzzAKg7Pf1
32AxXzBMe7wC3NashSbEnQ/MdZMBgPjWyLrQWSUq9pZ9hrIDfgSjViQyCCR70B3z0BC1ZjSEvi4H
6sMbWNvhL/z+EZr4hlcPoq8PJgttZ0dL4BZkxHSHmeRxz1bIb1aNOTRyLXNk+isrczP3uY/nKiDS
w9Ff7Aypp1X25BVKF6mZPs7A3Rtm8RrwvVmg5yQqmkV9E7UuYI5CdasQE6+5QrHDvGtoaHDq2KEG
hvuqvXadQrjRgrVYgSUU59ppXH03mCJ9mpLUBl8cdOKlBlEerZIRlQlPjXC8dspU+zaHg+uNqvKP
STiGXzRullclxtfdx+drlk/FmV1PK+jb9UGmLT9GzuDUsy00dVu97vJd1009hMVypn7kIBOe225g
5izizzaSPLYEhoRV1ybJcEaBH4bwMEQy760GfdA2NMGP7NS8lBuxPxN6rRXJcTaKQ18bPCVJFeNW
GQXypUSOSvRPOTn6jlOFfrLNOBecMjnGXdOsefeIjXhjRhD3TPOeAW/6VMOluYeaNL1UZdicnVy5
DzFGu22ISMNaU4iqIzHbwcmvjPA5nhZpO1ScEy0rWbbIhCCVkMNJy8KXjGeTiOZZNvkOLR0iRLNi
Cm65rbViwjW/Eps97RyjcXdpKtW3wVK4KPw6I3ZaKEzf60DGUbJ1Y70Nr5K04G+54Me3VgGKTzKa
Z4MPrqEubDCQJAPe+Zk7XaJ5IDuHR8h6bnWfAHNAUeCiBmcnWpfA8zRUT7DJkl3m4J1YJczIUjQN
UebsEqE3921hvJhtSh6kqT8TiTIBoOyrZZTczRr0CfgUWeDPLf4zy9pGzuwz3mTlxTIbdYDvIGhg
/V1fz3Na3DTWDMpUUyiCpwlJYWSIYxfkbLpkFWwy0E372bbaDZDr+Yj0aontZS3iDampHlmo0CRm
EyoTcErNahgZ8xswBbxc4kHGCuMn2xx32EYWrUE5C9bU64ZG21Wlai4dwpvr0VEJ0daDecNgWW6I
jEUxptuNvgSHpABYHc2lRMDJQRAdcNaXftaiiy9E8D7VccwQBxoRQZ/ruVx00Hi3BqyyBezXKcaW
4+m85m0GIkUtFEPv2wdFVt2THlbGm6EnI6YLewXpOsnnR8RshJjGVXjV0yRgmS4LADsmyUKVDbQW
YWBBuFJQEkedQ1kqV33aGmsJlWIDSQnZyMCNQmCyHvR1b1nTiXDx4jYEk/Ls8v0Vpo95jA9lVtgN
uYBBfexQQdH/WotdhIDqdpUtHpaVXnXo1EMAzp6dl7VXpzJ8ACyqz3TZjNtlncWnvo2TCQbTQheO
pQVp2CobD8jzSHpZQH7wlMEZ1Ctgu8TeFPQCVwUM9AckJNz8O0meuTuMseIt0rZEqjHXN7ixkqPN
rJ/6kJu5tHruSo3V+a8fd5Yqaf1v7pglx7TgCoWRRRThx1VUQmW/H2fuUfWQOWuLXDR9BS0eGSaa
eJRkhZXvxoDbM2hRaXA5DPJOmMsbsUAY1wio+CTpklY96ACSmO5qbn6F1Xy6amokBsTdz2CYOpwE
tSPM0z/l0v9tJioWE/v/HiSzlEuXr2P0XvxULi0v+7dmQLH+N/BCkmrChn+ZfP46FBU6ygCELlQ9
v2L7/j0UVTYvorYhzJyq6ff1EqWURNINUw8qncTS/HfqJfOnMZ4OF3QZIoLbN+kBGCVSTv0gGahY
KGMXzONzLbtoejNYaOIfNuzW2OiIg7nZqYG+f9pHIF4y7VDIsCSWj7Ftvsd6qe+QkU1favR4GXmH
pemNHym5I6jfrzQ15MjDKajnak9A4EembpIOk3GP7Gle8nZZ6Ut2hCm6fa7sKWDaSRFCXpx7rUda
a9/2RdcLtSmtti6ne/URV2ENeChe8V6l0bR0xIuBLSz0PDtGjkZst2PTkRNFPAFjCmYzGcOz1edV
6dyH0iYBLPZ0QCI0RZnRMr1DrZkhj0cMJTYOfpNUf44qu527XV72jgRMrGe5foIcmnTEOFfvBPrV
W7sqpxtTpjmAtGkgmMuxJm3+XOZIDC//XID/pwsQPRgSm//9Arz5SnIbioC3PPq9bOf7C3/rWAzW
CJJAJjiWS1fgMNj99RJ09E8YtAWB2SjP0PMs8q3/BDnxnyyWBcCDWRyYzN9/a1ncT+wjaFpYdMAV
WHQ2f6Nl+T7H/t2c2156KYTcEmMwV/Zyjf5wDRIoB26k1Kc9F1VCrt6S+EiK6CKwIDqD4CAZA0Zj
zVhn26G1WGeTTlkfDKcgo2yuuDy9MNU1l8FpC2M6RJOmrag0oE657yVBstfD8sDNJqGvSQkcxWrO
mHmuMq3BZiImlPlWKiGqqUZoG5t4yXZFKiZrvToOZww2sniqm6k+TsvjH/enjvl4nh99qVEdGKkd
buqPmiFcyocgWSoJ/aOqEB8FxketkXzUHcVHDaIv5UjWjf66C/N9ZM/RV/qW4H1YypdxKWTMqSBc
HmeQcUYwuYSEfFQ9NpYwNPtLMVQsZZHrBOmpX0ol8oPbS7+UT2IppHzdp6YqlvLKWQqt2A6I48Na
xBp4KcS0pSRLswxcv1v6PI2Xks0BTOkxCaOOowLQF28Kkt+lzJNLwSddjryxFIGIpLObdikMyfPI
bnFeFTfxUjaGHxVkvxSTrMNKL14KzGQI8YXQ/bZe7WSX3Ibxvplsi6oU09ccezm1Ko+B9txRvQIk
bO8FMyLarRpnKkEecVBi+aDozetOPQEYkltGWQ6WWQh4MPp9/8IsmSG50hMvw21+Mc2+uSNr04k3
FmCII1w//VujIbsyMnFn9zeZm8IuGwysMIF+Y8ArKrymkOpKaE33KvDHPdaZGq/7JiY9L2PKvyQW
mOAmVnaIAFXlY3qE8uWf3TLOb029NS7MmZ6jwSC3vkAaSt02IWkP/HvY4dXG0sxsP+gIbAvRekkS
x3eYCPVr9MH22h+N4RBYBR24cjaZMQxeSOLz2gdWid+uL3wi2H1z21lZ8s0dhndiK7VtAWQQ926b
ijtOcmig41gdmnnJyiT6cwPIYkASIY21lZu3BWcbwabuidkxiZZOZWHCa17mDOnOjHZ/G+LUQnrm
8CnJ7PKCjsWC6ETE4ifUXuAJBYcS2fSdmZblZULUd7SdplrH4Ec3tRh7LyVK9Er1FecNpy2YN2uS
Oyi2oBcBKwNGM/xFH9yZG0q08Y5EUnPVBxFOjJ1FVFAgHmGEjBEuDTGgVzbFbFikR5BvGDp3CMHQ
13iT5jodCZ2JOdybzcL7xcSchOJJoD6KN4BUopNV6/Yt7lI/fB6NmcTTDqQAqmeXzCymb0TBOoth
nZWgfHaJ4dTJQxR179W+CtnOiEIzXxhb5/FhWB72pKmTBk/Pp89GvqsLre7v+wjMAyONqDNRDgRa
rK4Spffxa5K09ZyvyXrM7XkVmiSbTKXlzuu+kSN3ti4KgteMuABAeaFAVI7NA0YYQZ40FyNtQ0BU
ZTTy9Z1hWuihce44mypTbRLsp9YxXkkkGNp3OwE2ar1yjNwOE3jXkmje5oro49xPWsX/WH5yiPWC
1EiG4V3rP+RJZ02eXkHpwfReS58LS4zfl6L/TBb/crLI1v/PntTwD9rwX95bXaTRTxJbyipe+tuz
2vxkLE9W0MeLXgCU9X+e1Yhlid5GgyLY0CJQR0f7m0vb+sScBoQeVC0leRmv+u1ZrT7xT+Fck0/B
gHrR7P6NZzV79Z/HiwLtEqFwVBgOzB2b+uTHZ7W9qMDqtIn3GCm4OIS7GEznJgCcIPuaKJy2L/Vi
5eh2CCJUTsSH0O+TcWDN9GeeHKxFOzbTJm4KswiqvZYWYqhXJVRgfaWHqvnCLck5Tz4wQDwAJNmY
KYFcRgcFYZIs4FLaSaaWggXLQOoEM4eU6d6S+XsGw1y85o1Tvpb6DPqgj3HLr9g6OmcRsgXBHCuu
GNFpuVfkgWWtukI65U7yBK83TaItL/mgaiRxNN3IqnWfGLLxxgNtPSjRxhnvghF+fBaJ8a6GS3Lw
kwWgosrRhnUh86TAjl0XzhFMTfOlcYDkpnkGI+IDnY2hcsHEGkhKCUXB6J0skTyr0jVAF0kZAAMS
SjwsHcubvZA3ikLr9qoP1eM8OONNrgDGNEpHZ2pljbgK5EL/RjXvP31H8cIjXoSmBJ0jOUTh+SWu
I47Ad7ws+qpX1oPgRUZV88+MES5aVpjm2xTwOraIfABTDHzaIeXddAVuOvYparxOEeXI8GvkWxsL
xMhJFHyZWOe7E+sBE7cbdHVlGVEGY9fmOZBo8RmnjljVQzReYj/qD6qAsQKCm9d8RxNaH0jJbMzw
z3Fec4S//6CpTg21JgXafZLd8guzMx5v+Emb5oWIE9TIA2YCQaQy2oE1VsAkutUyyVcoyBoCv8ET
K8LhmQJCMdOOQz6AEyVs+4NXQvulEcStAdneVTBY+n25LNOeqYiAbqTZzFytH+Zvob9AhfU+d5+m
dLhr58bcTvieDS/1Ix/5ZhPf2j3OBzyDleaVIpMPOU/k18VPz1mbcaL/D3tntiWnsW3RL8KDvnkF
sq2svlHzwpBUMm0AQdB//Z2U7HNk2Ue+fveLh2y5KjNJiIi991pzlbM9JHtOE/ymNTH5p5clvLds
u4l63QJE/gbu9vqRuwEnGd9sYPVQyt9o3WCvQMcAc91gn6ni5tMIZYyTcduXoLb0rzgvgN3oGzo8
myQPoRfMfMENHFxoLEEKJKUsWrw+dYHBKSoJKBa7kVsUFR+P5aVpOd8f39L2tAIpI2JDi/edrwPE
IVGSDGbRLgKTOwnumMQYYNtwWElp+nIs49jIfbLA5vkwbF+Rb/XWSTjYPH1D8ctQ2eUHQKNAh214
e8s4BrvWNtoPHZ6zl7dbONcAVS/kLl8128O+iQA/JC6g9ckauCRvFKw3jpggb+zKzuCp7Dd6KWbz
gAu58UmsqK18bpgBi9pVVbvbHbA9EnRb8wP7PRdvwQ8IiI+FgypWfuNuSacFYeIOrvFkT01CsiXZ
hWGryF4KC0m+VgXPHYNqAxVrRR5xqDJnGhEgCD6ODi3nG/Nc6hsEnzKKG0wjcQf1+cj1SToA86PZ
86lhBZkhyhsLLi6BFFNTBZdVunyF/RsEtGkNiNUVfl4/Gjzy6O+KNx6TRs3BegqlPCao3jvCqCGS
uYK+75AoEFuIaDs8dSWf15q7dNqvxBhmW7XEE0YXcCNVW6xYwkRL/LCoGb9DAXoxX4gDtNATP7yl
O/l1CSpbED9CLYPQ4lSWdN6KHvejjvroqScRjiso7Pmh5UYnlhpP+odST+QxQL9wSPoMfvpGpyb6
BIq2nxXd+qiAj9nHmcShk8Vx9DKXWzieFph8URUnj6dEX9f2nDYeRnOrFoDYRVKQWqiTvTXYJuic
cYKOVuUbsC4Hj7kz4BlaqBFsbnCQWnytnQKhr4NxhcNdG8YTHGCg5ASYIw7n+F6HAkM7RkrVQ5fd
ILYTwysXfoQ0bvINVS4Ew3z0EKR37cZgu3M8o2oWvAodv95kLvualiij88zh7qaQfsLVELx02ACL
Kxud7hEpuS73b/e8bSIrjfSezxyZeFktvk0XqEA+gh9jysXn1LdtZJwM2ePAoDGDI5fs7rBTpL3T
2t/ux2CBK9RKP3gBH8AX+W1JI5+AuHboc9xKTuJ3w6ng9I08GxlSt2sZe93ZLk9XVZWM/YeJy2uB
IX974sTo2y9TDacpmqXTZfu3lRXaLiipKfPli5Fbdf0ypYCs3zlvAP7K3lYpY4R/aGe98ynY+LzF
QK6mkQ0mRPL6tc7m4NS17bYZSBJnwgVcCLZfbI030+qwkFWcH4bIZ1pEhlQG4SK7NZdsObL8WGKK
CYfkCBGiAqST7TZrcCVqRcq46SUzHH00OdX9WlRfCz1nsBVhZ01f2EohpvWMFc52rfPUlFTzN/Th
kJ9lLDEEI06mU0Soj93XphYvTWp05yCZB30KF5SznEOs7sm0fbAR20ak3Lp6ImyhvWKP8e+M2tMT
nt3RApZAbS8NQqIcnUAAhb8gGtFWP+eedDCG18lH2Zs7zWzkRZHBFHW9F+kezAmyCYUhtOnY98tJ
ZUN75RUBMootxaGJgqB/V8th36Lk2WvMGe9aewwL4T0kpk0hvLhVq20weygnJ9whglV1Swq0XcYY
lo5lp9VbpoGuudaRpxiMwNKwi6htTHE0DEkFkdutH2l2ae3L2hyDEJLcXh/m6ewUWVlGmjctY8jA
Mlv2i7tU3jHgtuyiVA0UEGRVBmRA2eutP/feWRUB21w+y2M+a/RFxGQ828aIhRwl9W2+lv7ZMxPu
XoNAAzfz8aj4RcvUoZ1he5becNXNo37tkR9CmJbmzJ9I5SmeF088Q8OS1aWSyr6nhoNr0ZMmGtlr
F+z90RpJWeuCz5nPyEdNmJNXbrKddLw89pnp7BfM10d9lCPC/l7shE/qY2TbxRYKqYprv8uK5Zrr
5b4WvV/vV7Jy2cdznZCP6TkI8JuXAFYOXjJ9JACTpIjC+4z7d3nInKWOjUqae6v0mHz3Tnev4BFx
/KndnTOL+QvGqSet8CiQJ6Wu/Txb7wHROFHjDWIP1d4+JMGInC7I7V0q1ZMMBsSHncvJaKeEbK6h
mbFEgQgkTSVrdynnhvMgOuNMY0uDCtSoUxkM9qWxsONz0Womd5IZisvgdJbS32kBvd2CFQu5qyjv
bFkgBfTP2loat2wCC0e+sd4DtHNPVWct92ljRVZt1UeT3u3B33YIa2lHLNTBcASFhBMZSusHhaY2
RroS4IBx7odcmDGsGf2hZAR9aZaqf8aGpV0W0WII0HyPn5s4u37uxwp1WWKaaLXmWuIM7pv3xWbh
pXFDGC33t1k+mV3iH73J0m50V+oRO68HvcAm4tdZ9uQ6CIwmnvdJK8X7WdumiYZXbUEindprHrdN
CKkO38faDwc9KbPI8UuUedj34hXV5yFJs/401s5rC5ZtZ8L6iYxWr7bVyjgtOIU+JaTGyDhp1Pye
wAWA41rHSTDX63ghd2/XI4B9SiQrCit/J3ZIDxn+5aZ31BUOOZGhCVQmSihnqozpgmsEhV9rkdk5
sJD4Hdeud/QHklcqA/N61S2cxSVTvYc8MbAGGoXYvGurGtNXFv90nxWmjFffaPFvjXWLC5/8d7hS
VnIgO11jYepy9+iDf3nRUAv5bHuJ6TKhNbK4a3sqkEzuGC8017niucjxab20rl+dVuhJYdAt5X5d
+5Uxps6/Fh7GArPSn6d09rnFYRza2jlHFzuaLKSkAXwJAiu9pFLcMGlV77QsGK5w11y7ZU0+A6eB
RzGYjOEn5XYhFOekP5dSLvk75baDfhIl4/GzJo3VHI6sWsGeodAgJ3qsGienlMItuU3ITuc0iyw4
RD7Z+B8SWbGoJ0UxtQvL9wK4huZPt6IgK6BzOZFZ2ZpOLqmmT2hQsDtaH3A8seuSQwHOxc99K90z
TnbEldQ7/jv9txWEmCMA8o1YN7udM3AGxQnGAbyeFAcRF8DeEOWyrZazbqy0o0zyUjmLEoUiQWwx
+uF89l3F/xeCdWurjb/vczO1cja7Ky5oht/Mm36onUcd8kMns2Pr4sJh5+MoCARkmjpvZpG2VP2I
09G3T0vDLhrPTJzK82ib48Ngj7DAsnEifVNnoB0i0eY4b/Scqt9g+am9cprIU3IJqwR0Q9htpWcd
EHYZayKheCu9bh6uoZT1r9/OyEgW54dh3YqSesFImCU5qDO0K/Pdtq18yjdwb70qpr6QpVsOZD+/
HOaflEpgHJEouTTM6Wj8if6fGZrMyZHSDlbm8JWYzQr60R+2k1c98+65D4PLYvqj9libK7XcLDLe
1gJN7XEOXK5Wam00Z2d9S1e3+SMXi3/O2EPT3Vu1apkYKMOpKygah4nE6GOTUpBHudcS2JSOkLq/
pblApqSWxCSMXtHnfPL68w/7Zx+84YC6c2jQm7oOa4NBy/d9kzFIc81C2nqsibQmf3iZBxVlbomM
uCPanY/cCryHs5KfhF0uD7Knw/AW+JQ3c/cgavk3l9/4q7tRt2wQeLZnoTv74R1pjtTWgd0eeRHq
qtDFH/LQ00h6UTRmuAggZblyJohwKH7WqR2pCuoJzufBgHmRR0q1W+VEOfLzS/UnBIOBXAtQNX0m
06Pb9AMxAOV6hfEyL45JQ4M9Fg3qrXervQ7qvb2sYLltEXBob2o0rG44lZxRf/4G/uK7gsVv2IGB
D8LiXfwwj5oy12hWs0+PzsyAJUxqlebxEBiJuY0HspSaLGkPuZVn6VXfJmvNeFYlN2ndG0++Phg3
TCMovn7+rv7isiAttGA5urT//gRMrK0hQbhip8da29KJZw7Juy3uNKBwIYIE9RUFwiCA18bamLYf
fv7qb2vTH9cum5cnKQ84K9rGH+fk9eKV0IZWrslCdsCxAImIGFZJXxR8IdniaBSbk289lV6inYyt
Sv2WUDfasjVvbXdBvhESbptmx35rNLWSqTvJ24wCpnoLaHp7w/92ov+mE20x6v2pxvXdwsyoTr9X
bPz2M/9RbEB5wE7lAVMwdaSvLAy/KzYMg79iiEwHeCOk0Bz+fVrs/AL3weTuAPbhAt7n9v2tA23r
vxAIynR3ExXoHhrJf9KB/lGv4SNvNWx62YZJ+EFgbf3p72bFyTAZOZyg6WYQr8TSQev9/PM7/Ydd
ifyUP77AD5t0N1uVoM8x3fjITjMfMVTwKR9v8iDK/m5TcLiS3x8IAKL47CWgWC2ALBR3P4hPFsgE
Fd1t47pwwFPDZhAadkN3wa9mct7/qIo59b9kDYle+kFvTaWtUQO8Oq/PuqXTo3ptZON7KZRlGzin
d4BLqB8Wvx6+5lgRc3EZvjEV9I2vUH1jLcC8XK5cnMXJ0yL7fbGxGRRQR7pODYUmtipZE86+8Rz8
N7SDOboaLoWJOXPPWF6AvEQjZ6ZjF7l2PXpkTjc+c7acgR/amcE8AxzPn5e5Gq6qRA5bgh4d1D11
QGWBn+ydInZmd70B5eZMH/Gq0KSEJEfLtjc7amjHtm5tzWvXq6IPMu1xojy16501pow926gvi35O
8Bd0+W85Cf+uGn+zapjkAfOk/W+lybf5VfypbPo/Kk2+/eBvS0fAHIoj7na0JYUX5j+akd+Xjo0d
Y4OO0Yl++cEB+waIcRFiAT/a1OvfrR3OLyTGMGbix9iK2Xj+0drh8frfPXCbW3PjOrG2mWi+7Dd5
2/erB36OVhFMb15WRsfpeshVuvRYAE09FIu61now7K3wYNONPoTYkEVw/UDP3cUglxtHBQf7krDu
7RapiX26yAY71Kqum7Q+Zp01nAl+9mIQxu5VM9TaI5B5PJR1igcr9zegiXAfRzoVz4Uf9ADwG6xf
RiubUChAEC6wERo/BGGbDHIAA46JdShkkES8bzztTnos8+zatUR3RnOLDlIm99Mqb2fVxNsZb6PT
GEepEDb7LhZBr3LPho0paCiDOEvl68B4Jx6KVkVi7Iqos+rlmjWDrFGgvPRpkHahFSWqVttRkBl7
etfrwdkYkHVqHrTaqd8Fy1jsVLsplCt7B8n0tisXe8dpEWyr2TNB8QQNTIdsNEu4vL6ACMGVsukk
+MFxUUP+4KXgbYVhrIxeTGTvzbJRJNrxCHTktlsCHSVPue7IRkIwS35vaOuthZPfsZgKwdCY0M6E
Y1OpMz2c68ygYqSafQh0QZhz4h0CMRyBx2DJA0gZLrgu0VunemwmOuVSgZUnW14At6KQhSuyA+jQ
xz2wiJic9zTqHM3FgTR8Fgq/6Txj+ITOe9UilY0sQDLN6u1JqW33zirrGCyYFuYc/kPpuMcgCc49
/rzILxEU5WuivSwWbUkaUQ50B1gX1jDPe9NOA4x/YjmZHOqePATlJ2X4Y+x5oEwxMTmAkjW6DbNu
AwiGJen46WEeXKgydKB3gVF8bOfWvpIa7Is6gVfvWDIeVDeFFq2QzBqIH5Q0O6qKjMVCPjXKffHn
9VKYkxem0ED2Wk0zzNDX7OC14tNKBk0he/tQNEnHvGyCO4nL6yzN4KvNrCfux8CJuSc2j1XoTtwS
fpfeB8Sc7YcUrTEtkwoyaE+T1FgjW1U6fEfnJNFufVzs1cDypa5mrfy8Lva8mzO/3RU5ukqnZtSy
rjX+xYp7Ia8LGXtpSxTACuHEhtIbMfOQcWl07zXV4wX20E1BcRgR7CzygKfO3jVQvvcu1o59YhXP
Hb7261onq9HyP6eB0kmi8WTktK72xG4rFK2nzI69Ks8fxFj6EcmBOs1KgNotDJ0nvZ79GK1M+bBi
lI6VWq+xL1R7EDzTDlODu19pl8QONqBdPQM27E1Nv8uRee70tRQ7itIsGhzYl1CJ8Bp6hXsyaH5F
eeqPaKlSYLujeUVDY4g1RnnP8CW5in5ixSZN0chNgyl2IGuHutNQaDmF/rwkIE96zXB5cuW677PW
i4IBzBIEkfqx1KwFaOSgnw2aqA7wTfBP0aSV2c5tfbJve+FGQ1WX6NQhS/JWh4uHp5r/UbsQ1g5I
tyRp0S4/53jZCC2ghzRKLw0Hqu/YW7meLfPPoweAGnCW/uucZIRoESJ1JmKERq/bP3LeOFEiuGef
/NbQ7pwHNynkjrlws8sAXYcrqWOxbc+I62TwBUzNQ84gnJniXTWQGaATx3RYcu2rsNdlX3XAdXrv
kk/8/8qrD5O7bF3Nut57RBlFeH7beEmo1jNyZ0LDzj/JBpZL6jN7wsV69LbUrapECjv5Qx8Zur/s
TGwjcQfxNdJTt7teTG8/CPNTIDfBDVhD+MDKeUzMLI2EF+yGBTgwjxo8F/l1VDT20QYmN05X4PWs
YDLBSUJaV5njDpaoIv64bGOMg/4xs4AEVeZH11WXIrWLk3LmF38iE9QDNhURNOueBgLDnoJgfEfA
9hS3rffVzRB+jQkO8CmtnkxjuPLsvrtpffOcN5jMnaapmAaT5qd3d1WWwGq2Mj+Cmvlr1w069nJQ
kM46NAfbHmBCOUuxk1NfXTh9dQd77nxc+0B3UBXBo80+wvMOnhYbGHNVG1eri09xNBe57/2KzrDP
K9br+sSIKb9T8EgKg01o1pIZOwJWTwjG1b4bHGJQhfO4zdBjt5f51SLVKe2g5kJA08BIDeQ/Z2wv
mZDuh6qc30/JMBy9xXttBpOhfFpl+8Hsp8Ncz9qeYTMtWTEGhLKOd3rqZaG07e2NT9etVEnUO+gK
RfLQFGuzm7B1zzLH3IUr/mRk2rsBPR408/nVgtnEWjgMJ59ENNaavCNTL3GPrL/5OWNudkg1VrnJ
Rw0wIEwkVtcE2bZazj6lSb2H82NFs90ah9Qr3k1j7uA795+WXl2pUqJY0dJfLa31zlVdJVuDeg3t
1jX2JA0BobWFfvZbhvCNzU6+sqruOxq18eQvq1V/rmhf9c+keCZ42mnTE4dznCeOuS1UGuk300tP
n8jb8DEE/hCaxN0n/FsyroKJ0X/GfJSHDAKDo6yjNBv4p5HX4rh6tgbKaXzky9IpP905qmH1LnHA
txOhuuSiOQ+WjXen+9CMRC/U584alRdEReMjPseMVuVaBguy7dau+1fIjYfo/0GXscm6+Nnx+ras
PqGj+ePR+tsP/X60tn9BxgUX73c1Nsf1/xytN4uFSyIH9rzNEMFf/S4M23wUW4OPU7lJqfxfURjE
GUItOfUjNgMx80+O1cyq/3CsdjBycEI3SdTgHSBQ+jESt2MPrWfXkGe71+bYsiv2p7GHoNH7905W
Z83JCYgZD8l6XvE3dMThPDNWLvA9uCa9xlnrADmg8A7y5KARV9E9QS2rrgAP5MVdD5L2I1Ym74Oz
uvU5Y9256qfCRB5NHxCJSS7OYAvwUZcBHKuxqC9FKzWUYFnbXDPXbUnXWXiMJ7yM6ZqZLaXo1AUf
xnyx/CO0R3qwvVzc9+M0MwReTMdjmpZnHJawpu0sd6zrKEjB038aey17PyCAExDsmzLdtxDn3Atj
n6xP91oldMJ3SHnNZialDCamG5jk6PL3GNrX9gZjFB83m1Xn4axaSMw59oqJ9LwTkL9ArdS0CYDv
gd0KTAfCHTPqG98kb2TiLMv1hHS8iIEBSuIEOkf5kcz4yECrrn+ZpkoBLi4zEhdhJUMBYZZUs/Cg
iR66VVtwjDIBDGvf1ASrDJtFRYNjBTEfOwVY4qh0x5QpFCY2M/NKjLhkHxSvjCoX5ZRRDyDcwV8K
DyX0THtMD2Y5J90NFlftpE9wOIg7S0Lo0qSCAFoJC5XVp0zTxkPqtCZnFHdgjq10YuiNero3qsnZ
u0G7fAKrCKEEoVa0lEuGt5PJ+OiL8gIRzjo0yhYnxEHDoaxHEPmybtywGqttYZ8jckfgjIi6iZGo
pbeOGdTwwao5du20jO3esTicpM1RreRydGIS75JaA9VdktMertrY3laF+1w2Ir23GNXeTdno3VMQ
jB8yLJbEIwBl6dpsvud+aNBTNPkLB+DkrjKbBShcq5HrNgxjlDAFj+lNeTdBUCYvWTtbxzlztVuN
Ti0nmI6Qj9HrrEviJtVBQ6a2csSkdHpB6wFdO6ncZ+ka9SOanxJrQpKlDKULac0R4gZvjhp636ea
o60bBr0Su4Ez02mCVn+YqjJ9QchsXQUrOL3QaJ3pie42xaTfdklBidJVvxqT7Vah5a3M+NFc1MSN
NWu4YM0isWb1Tt3kPBUgQVQx2FZoW7N32WTwkMzztSJTphvGWxSC5pUxz82R1tyAXXfhux4q1d1n
lVvjkZhJKk+89vNkZu8Miai6r3z/zDctdrht7WhRrX+9on28T1yVnWvOJE8pdtn3A1oXsVkOzS9F
0+lX2loze5fS8s5TNQd7u2i/whFKjoaDaRGwIwOtxCseg9If3pOrUb1byjV/Z019vsFe/fKdxLsF
qJQnzNX67sBMxtwF3tTv8xYAaQMXEw95dWAsvNzWQe2cp1kB5agX9HJALgLt1sC/G64OZqyQnkd+
V5MjBxalnbuoAZnCXcy8LHP8uQrzXlOxrREg30xDG03JhAm6Uj24wSqLUk2nIFbTudGDOgZSaL7Y
BJPd9lr3nK/dY9Fq3uvsAK/luIl5IkSE4zH3xBvx5HWFfSXQmF30norfLVQSe3l6CmzlXS9TJ3k0
BvW4QmyM0Yc1X9xB98N2Wps7jnrrZ8nERoaGVmH0EFMLnDO1n9PMdiJX4rXc8nsWyCFBek07Z/jQ
OxrsQKQu6Fr1CDUBtVwxd+chb9NPnBnzr9WE3UyN8mIOybRz3GmOs3EAd8j88GhpHlPqeZqWy1tY
sl26dA576iOeOFqUNwbKtX3XGBrzaLIM7kuUqluQucHccpPyjCpHbYjAEo1XJiYSqs2snx+aaZvu
lelkPWLn8T+Xk2DGOeSb1OotOxwY0PJgawkqBRQAnwY0uFeBi/GYQ/mmFIb1ON+lRp0gc/UzkCsT
uQHeJugi1FDdeMggljAdLGRJFoN71BAge4SPcqGFjX3ZLEA3hG/h5yZAJur1+Ytkz3swqEpOqZao
iF/KcLoA5IGaIjggJZgvWr+Z1P3W/2I3nfNro9mveSvNiwE7BqyjFAv+c47oDOB4yCEiguf0rwOr
LC9QCwmLKdYvmQ5HTepVg1x3fm707nHeIhp8o8uIMmBsklPL7nMYZQed8Ix7aXTNTnNNkJE2lv5j
qmU3VTmmeyqChNqnMzD3OZT5DNL3PO9fCkrvB2kqLCdEyz+lHtZlI+va81RQynZd4lTXRAmlkaPq
8bqp9fSoTfPCwFC4/cFGoXTPnSviWg+mu5z58qucqWxDkwhHjj22/5K6iX3mHQJUAhUaNQ7NISoz
R9yJRHP2lbk0J6PuiThRZMcsSs8vWgeq063r5tAP8xDbRDl9AJuZxZXfQNb3yo+9Mj4Xsi2xJpvr
ZZxEOoSumrI725fULaoB9S8y7BfWrH41rLHcDcYyPBbwPXdvmrkm9cs9FjI/tjoteeQArW5c3esP
U0AnZVEwYYEnWQY5RAEERqhdaKq6TDtNSJpyG/VJPX3udLv6KDFU7bHol6/C94wdKRd8r77/MfOr
rx3hFydLY7vXvRJokcOfgOUH4QIP+wi4Tj/pRUUgaG6Ye9SixgX8avElKHyHtTPTDkAY4H6qpLov
+oqEFcLE9m1fyNPAgWQ3wF87WuSz7L2Zk5dGQX4ozWy8ysmv5Dma6QD1hqbFOqqZaG6bcWd5qv7S
E8oc8d6fYGAZ0bBk7pH2voxy53q1iVCsbVEi4QrMfWM4X6Te3g+Dz9GB7kwEx/nAEq3BnNbeG7kN
KDejDMvLlRNGBZ211Jsbr+3uPWKMAyUPK+06asRyivWsfvAB6JzRdaT7Grx1iNmeuPG8RiGbZWe1
Vuke59q1JTTtIVDEF1XuEBwJO0LkY4l7rPh3iGKyPTiIPFwblPxutcAkGYy4zMvqoHriiPq1rWM7
bSgbswEg0GitLMKedav1qNJY270nYh/z41rAXGLU9JX8BmAPC0C7HL1SiJTcYSMrM/YDa7ifaHR/
ycWC1kbj9iOV5ejOY02CBNxbkimzcHQGAyBbO5xm0QUgAVMq33z1z6Jf7qvc+Wgn3vO/A87/Ty3F
7NlgQPC/RxWPzYDV5s+jit9+8Pd6yv2FtgGCHOiaDsjDrWb5Tz3FqAKHjYVUB/jFmwfnv2POwEZZ
/t0A9Pcpp/mL7W/OHddC5qMbGHf+gc/GtLbR33fzdnj5OGyx+hjkQDAU2bhF308qAp3+QJJI7cpG
bXmPf13sVnpqJ1Gt5Y5MFBUjODcfrModD8Bn150xLgHhSD7gkbKZnpbSFVeWwr2N2NhnbqCPTkhP
v46Q2wJxg7C8Yxj/kLYWXKqe4DK7q9BPogMeyrsJKTNdnpQlj+UkNDDtRImywTOLDeBll+DepF2Z
j30ts7BtTWZ8Vipu7GlUT2BXkBPioI8XKqVXXSNdy7eei6b41WqpYKAK3S/B0j8UQPEOcnLsOrSK
QTzkxTqc6ZFDuPOoH1E6ihKG+Ip5sKrnywLr5yTSWeyKYiUUD3fovleDFUFGX114K7pOWrFmzmgS
CZ4a5xkQqDdLK4MVXS/HFXHYTm/thMOYdC565x9Btzy0OjxNC7rKNUT4qzqZRVzMnG5TppFUU4Dk
EFwm+x7VbcQN0+z82iDVG+RzCJos4iTYRXxZ4mrt7XLvOZp3FgXHy6RJGB7bXrufzRRH8FxDEWUX
RbdRVuujdGoZT0v2Qtyl+TwJxz3Ntjd+qI3GDDMlEf0vVpPctN1i6ruqgcSGwRmsoX411om1PgIs
KjHk50RlaV/wQBk4DtGTaSs2UVWgz6vJJojoICMvBllM5UTFjbDIqn2Sp5H80vqivCDAZpTTQZiq
O5LXMh88URMvmCOOuZ1F3T9oXq/3kM01kfWhvyprDPs0dy5e2cH3MOa83GnlqpUhEwJRhZQP5Y22
kK6goTybwXocmm+9pOa31lL5rdPEL9r6Tu23LpSX1P3Wk9r6U923XlWgmnxrXRFC2xXTfdKXgrSu
t3k3Zcw4TntCn3Wi0u217Xp2i8Vc3OdJH5T+qI2LS/cLNH0lAmYTDIzIlsJEN0NQKd3G0efriST0
Vu5pKtaw5yrdeIdUfb6fOGAJxuA1CmCGfkUTMZye4xyEbxJpwIc2B8WovWSlAyrPXD2Ocb0rZmLB
kECwu8hXApO32Guq+IeaTZwYBc+hIVqgs31JnLoUN1qxmEZEloR+u46TO+4rVNlJNMiMDQZZX43X
3MiOTc34hurMSiO62Mtjl2Q05TlPzO/KvCLeiFwL66PMbGK2UpHeymyRt67M/c2G10ZuRqFNskOr
X6+62iB3EpspwOtjvtTtnau6+oXOPNJUTxrkErHNYi8HGAD+qSiSE0nNyYmweG0KHdXTEkj72dkY
Wz1SHrTyfOXMO8LCsfoFt8AGPtRV/zCMXn0n/TY9eOR+Zsbo3AbFmD4lVTtftRXcQzq06fpNovTv
7P5vZvebJAxhyf/eEF++dpje+z8ofr79zG97oWf8ggQQkoOlG+YbBuI/eyG0O5v2oe6RzfK2q/FK
/90Ltz3K9DeV3m9qoP9uhh6MFjRC9BgNRuneP9kMaV9+vxWasKQJHYYCg1gRUoS+/f13kh/c2sOK
UNg5+oRBwg3O/LBICW3/7prcfdtav8dJs99//yoYbg2Lz4gEwALPbenb33/3KskwStOCpnsciho0
8KgH5BLMSfNxY1TdCRcJZLWS+xKDGvo7dd32ff3pxekh+DpdVEgH7g8fMXMr7KAl4/HUDho2kU5N
7F8Gr+vo5UNB9fkpDUQbhKrOrVitS/511lgldm7nWnHVGXRyBtxT/ehXmF80eR62gBDlFxjSioqR
Sr907U6lKZQ95ZELC6E1/vkF/MsPgeiDLjAMQm6kH66g3tktHco1OCJ5N3ez3ax7oeEny/GbPEv8
8aT5llgbNQFejdzBzY41kLbc0FdEvxjMd0Tl4XlVvo/tEpFjEIChGn1SXOdgLDGFINEW+dBjw1z7
ItRI5Dn8/DNs6rHvTl1vN4HvuQEtbJ+mufmDIEshCh8Wj9BAtq8p7gBbEK1GNLXH2eXnr7TJyP70
Sri1QYhDHwLL8sfbzaHcRKvBK40IE7D2Y8nrXV+eu96S97rDTPznr/fDQ/T2yQKkNfT7Se8ONkLT
97e3aai6pmfC66V5d8+KoghnT/9Ou/sX18/e5HlMFIgxsX5UiQYdy0VFMumxM5Hl+ly11gryY6n8
p59/nDcV8A/XzzHZUGEPsi78aVEoENAHE/fg0VxB166eYu8JuGeWhS9uERY4JSNzQdE2ffmwjDjK
28qlIVwQipwBCrsSjiPvu2Xz/LkjzKfW2HpOsJbWYwqG98xMdDnk3JvPY0qrHmC+blPUFRNddTvl
RZBfgFDyKSOV6ap3k7vmx59/SOsN1vmHT4lv1KDjhE4e7W3g/FAFJGZSDdnazceJTkRIONN0wtmq
TtqGjW2whIQuJFmwbyBlN7gsN29xBMHLINfY0LMtEFqkOvBooUPE0q0BrZhlfuMEi/3R2wC2HCB2
nTGZj0YgttxnnC1RR4v6iUAeYqnJpGOiks3PBAaacb1Bchl6GOzmH1nOyqPbA9JNB9OhlwFcl90l
OwogxjtyxPMjbdSFfg84Xtz3xkFZjf9EQ6k4FRpi+9qQnCghpHzJKKciAZzmBDEZRDHuGhmOG/4X
UElFJU7Tph1NG71hO0RYdiEG9wZd/ZIZzEsPT7jawML1hhh2mCi8LowsmOcCIEaWZB2cxIZKXLj0
g9ayhXyyQYsdhvRPFFLiHXKk8teWqFQm23qAv2fLUUKR1OhW2OBzfO/hkY29DY+8Bbafig2ZDDbQ
vXU3jHLv5xsmTOTTLYhx+ZkRKq5UyMvajBczg8WsbVBmjbMcTYmcU6nXnYWAP4iuTNKHD07zqNU3
TdLi253he4Tphn4mRBLRZ3HZrmdM1hbHyA0UrTZktAHG3ME7Tlcw07dEbXGxN8S09kabNoT+f9yd
WXOiWBvHv0rX3GuxIxczVW9iFrN2Z7qTnrmhaLUFQUE2hU///g5IWszSPcGaSg13Kh7OeTjLs/7/
5Y2c9XB8FkIrkzhfgC0FoloJrcEoKzXVifHAfwTWOVmOUinDtDATkre1U4JmzAgBfZ2tVNUJBRy2
7yrUG0cbguShsoy/LMniOg4hJ+LVbEBAFbDaa/C1XVf9pNjA27O35aOUSlp45QGKOIpdZaLGvPPY
kKNPRRxcezYkFFQF+USUgmyYCXBvdwHVbCxJF5FCbbk00zRK3DazP5fz2bU9M/52BUy4m6bSnS0D
HT6PjQdSLhwFg2W4hoUVTlPDuofIenCqxrF8ZW6yNRE1AMnDvASaHECDo2xO1WwqgMtNSnzYogAz
lxeVWyvcXPaIOJ75hDFAmgH+vCeA0CMBiU7AXTuGeoD6OyqMyDrhMDKHHEMk08wGBpjqa48agRlA
63GS9C71MgyvUgHDHm/0wpmvE4lyusTEPqgQ2yVlHt2WYPGwTSUyBm8hayMXUKFzWQC+myHLxeiR
SOaTxqWQbnSiEFMh18UljyZ17WOonpfjONdmX+dk0EwMMym+qnm8vlgMBvnIzy1SGMmiusJRFwFz
4MODbEv5KJNZX73Cxw0eFMVMJevGTGRQGSyzhIxnBevqQpotiMiWmy9aDsUaQHHuSPJxNmpBCDx3
kQH5oFJOLxur5ZUH6C7pKGT/kiVI3HWZkQLjGZvVhRUBgmSEWQEf8CAhgUHyAYLPi+8wRa/DG7Du
gqEdoRSQHCwBAQkXeYSPdejNODnk0h4cKVIWnUj5WjlhxPGFaWCPr6lpA1STDGbwUZOH0lprtwoL
9aaAPCAb+jZ1czguw3wqz8mqsQKpPC/m83jsmtTbGaFn3sOwsLxa6iblXhL6RRBG7i1wtWgnOSof
vEnSEQlYc3oHrsPqKCPtHWJtw78LZtrq63yu+kPIlNdDr4de2NOj4izwZXW0Bv/0NCKOcB+mSTBa
eXoyKXsuZO9zKmPnMYMEQx4w4CC0L0oQU8+LQo1uVLe0L8wk5uQi6EMhtApJ7TxcRidWnDNyQsm3
Iq9xqGcq5a9pqZxopK7elmZkJ8RUSv6jWEHyAJyJyGNR6QmoItJZnqcMqWeI9DTMZbht/bl+gmtG
v5XZGI5LaCXOolQpzyWwQ44tM7Mv0FX048g2LNJfg/giN5ivsuoW39GB83uPWroTNVRWF3Mw6Ygl
6ppyJkuL1RkhVf0SfozeXcEDKEAhvQW8CxM8Cr1w9b+pzcOFbhtueieZVDzZYLPdxRLFj7Hpyl/h
JCGlhjwrM1+FZ8lcKdekOUrqpb6RiKSwKchxpoK7utJOIxdqxoUPiFEezN3TULVdSvuzz7ItIrFp
6h3p/lo/oajzY2wvrfzId2dQ00d54Z4hftMfx0QI3KuYOlxAfguoC6lYJfiTLmJpGKuk6V1Z9oII
hbYpYGcgWq65N5u1slmUo+p4/88YrNuBCJT0k8oz+ymbxsXdlFL3NGmcm+LXiqHnc/i2m15vaEu0
9DMTmE0IVbRlAledqnr8WhuBQ/pONpn+/puqA5REDovgRqouNOSA1Oztz72B0cf+VKhJxo8oLpJg
eOCOkF4Sw+sjrOX5+j2vjaBOQBJMVDKJ8nS6kxSUQZ9qQx0Vvh6kGGVLCsLNDR4r2fj1DXVa078v
hTH586mYjTMvXO66NigL+jUZ7LWwMxOsvo5hJkoFHse4KwOLegV5oOLo1yhs4qof+O/LwJlQyTX0
yD32xumuDPDNinLPTjNBA26Mag0yeXC+iAsLdVcKsgysqOA/oGDqva0EHTW84/BBIIbey8AVAHOx
uPYWgixbML1hlxGOquXz3oRAJAqnQ6c5oMJNYXHmS9qPPa81ByS9j3NPrIX3NnpcksKF12n4VC7K
TH+Gt13oTKrd4Q+sPo9BI8OB8z7nAHFFUSHZSQqq1VeBLdB0FbBscT3ZCAw2Ah3ak+3J+e4ORlJm
jbpTNbngo87yD9QDTaESzVLAKd4uBWb87lww9T7uQhjIqRuvrnrtvaNDAfSg7lKA/IYaX+Y83qjq
aktBVgCUblz+Ytq9o/GDkKR03hBZC4qKg16hWFdce0oiXJB9jKItBOc7G7+oeOy4F2hmn4wu4d41
69ePQ3J3FdTv32DvhclIXO9uL1ABX/lFBXFPvfqhIKIaofwBpUqh+3OrgHPBJEkELeSfK8m/sGAe
ba9j1wsmldXlTZPnjLOXbmisjae/by2NitgWRbp1ozDC6mfXNof4/EdLSNVy3/mxWf7Vc7Z/3w7w
6aNbz2pG1Xx57k1jBy9NUf1QbLt54yyw3P4XON+cdu0Ek4/9+UdPfv+t1c+dVfCThhPfadqpTCxJ
hDQ6t0tCddhGAZYtjXO6e8O+s0ycpGmp6jL5a83nZ83oR+XgNVEcO4H3PYz3eAZqPbtrr4EsCGNn
0iIRqZXX7i0vl9Nx6lFM2IhAiMQEwaL5/HaRDKeBs3baZNCwOx9A2I1J9yH8/gHhZItvbXoHSxbp
Yl2Fg2cz9ibt6V17ELq2fDYN41m7yxwMIm7fteVzJO55TTvV9Far/LyuDY8m1F+12q1N6M7tBuB9
h157RdamSeemlxPP2dtFNOg9mlG8fWaPwnV7WpAUwUHftcOXT/cmQ1YOsF4u6Vk29oumi9W8EEpI
88XbRXEVEpV5ImbYVA5wvFwDoTZtulhv1WDXNl+8vc/XDvhbznLStCSaViTcds0XXZpOEmfsZsk0
TVtzmhRV7RAi8cauN3PaDj1cLejtXWfftcdZkOzDl+C9OcCCAV6R4g+w5KPW3gTIiDAQuvecqsAs
3m/6IB0nL2xvD4Fwa2B17/TN9Fvs7GlPJH8YB2k6d9rn1tbN0VXQgs/s3AHInFza1sKkfesAq0e0
/zK97MvJ77+koYnGXyZjO0Djf8ER28yLakupvSqdhf5TZoyufa8e8LQeYIt51LX/t67XUhyoqD6E
dvZaRXhHgdzGUwo8W6+ydg11FcXHn9CRdez3nRtOph9GyZOzzYRXsBnO28+2P6u6kecoWkTlyAHO
5foBTydiU5jSUTyfkf40SaatnUutI6Nd3+zn6aZtVap0+gAG65fUcZs3J/aUrY+ua3dfyXjuKOR7
D8tmzwpWcQQdYP49OJw7y1naXpoEF4TXrqtEHqZJ+uHZzuO1PoAx/OAl45CMkda2svW1de77y4iV
r77N5zxNjx7pp/6nJhD/3N/azjVxxziYOvEf/wcAAP//</cx:binary>
              </cx:geoCache>
            </cx:geography>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Top 6 Ship Cities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Calibri" panose="020F0502020204030204"/>
            </a:rPr>
            <a:t>Top 6 Ship Cities</a:t>
          </a:r>
        </a:p>
      </cx:txPr>
    </cx:title>
    <cx:plotArea>
      <cx:plotAreaRegion>
        <cx:series layoutId="treemap" uniqueId="{ACDD5371-CCD6-4FBD-B230-4D162CAC1123}">
          <cx:tx>
            <cx:txData>
              <cx:f>_xlchart.v1.5</cx:f>
              <cx:v>Sum of Revenue</cx:v>
            </cx:txData>
          </cx:tx>
          <cx:spPr>
            <a:solidFill>
              <a:schemeClr val="bg2">
                <a:lumMod val="90000"/>
              </a:schemeClr>
            </a:solidFill>
          </cx:spPr>
          <cx:dataPt idx="0">
            <cx:spPr>
              <a:solidFill>
                <a:srgbClr val="5B9BD5">
                  <a:lumMod val="75000"/>
                </a:srgbClr>
              </a:solidFill>
            </cx:spPr>
          </cx:dataPt>
          <cx:dataPt idx="1">
            <cx:spPr>
              <a:solidFill>
                <a:sysClr val="windowText" lastClr="000000">
                  <a:lumMod val="50000"/>
                  <a:lumOff val="50000"/>
                </a:sysClr>
              </a:solidFill>
            </cx:spPr>
          </cx:dataPt>
          <cx:dataPt idx="2">
            <cx:spPr>
              <a:solidFill>
                <a:srgbClr val="44546A">
                  <a:lumMod val="60000"/>
                  <a:lumOff val="40000"/>
                </a:srgbClr>
              </a:solidFill>
            </cx:spPr>
          </cx:dataPt>
          <cx:dataPt idx="3">
            <cx:spPr>
              <a:solidFill>
                <a:srgbClr val="4472C4">
                  <a:lumMod val="60000"/>
                  <a:lumOff val="40000"/>
                </a:srgbClr>
              </a:solidFill>
            </cx:spPr>
          </cx:dataPt>
          <cx:dataPt idx="4">
            <cx:spPr>
              <a:solidFill>
                <a:srgbClr val="ED7D31">
                  <a:lumMod val="60000"/>
                  <a:lumOff val="40000"/>
                </a:srgbClr>
              </a:solidFill>
            </cx:spPr>
          </cx:dataPt>
          <cx:dataPt idx="5">
            <cx:spPr>
              <a:solidFill>
                <a:srgbClr val="FFC000">
                  <a:lumMod val="60000"/>
                  <a:lumOff val="40000"/>
                </a:srgbClr>
              </a:solidFill>
            </cx:spPr>
          </cx:dataPt>
          <cx:dataLabels pos="inEnd">
            <cx:visibility seriesName="0" categoryName="1" value="0"/>
          </cx:dataLabels>
          <cx:dataId val="0"/>
          <cx:layoutPr>
            <cx:parentLabelLayout val="overlapping"/>
          </cx:layoutPr>
        </cx:series>
      </cx:plotAreaRegion>
    </cx:plotArea>
    <cx:legend pos="t" align="ctr" overlay="0"/>
  </cx:chart>
  <cx:spPr>
    <a:noFill/>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200" b="0" i="0" u="none" strike="noStrike" baseline="0">
            <a:solidFill>
              <a:sysClr val="windowText" lastClr="000000">
                <a:lumMod val="65000"/>
                <a:lumOff val="35000"/>
              </a:sysClr>
            </a:solidFill>
            <a:latin typeface="Calibri" panose="020F0502020204030204"/>
          </a:endParaRPr>
        </a:p>
      </cx:txPr>
    </cx:title>
    <cx:plotArea>
      <cx:plotAreaRegion>
        <cx:plotSurface>
          <cx:spPr>
            <a:ln cap="rnd">
              <a:solidFill>
                <a:schemeClr val="tx1">
                  <a:lumMod val="15000"/>
                  <a:lumOff val="85000"/>
                </a:schemeClr>
              </a:solidFill>
            </a:ln>
          </cx:spPr>
        </cx:plotSurface>
        <cx:series layoutId="treemap" uniqueId="{ACDD5371-CCD6-4FBD-B230-4D162CAC1123}">
          <cx:tx>
            <cx:txData>
              <cx:f>_xlchart.v1.12</cx:f>
              <cx:v>Sum of Revenue</cx:v>
            </cx:txData>
          </cx:tx>
          <cx:spPr>
            <a:solidFill>
              <a:schemeClr val="accent6">
                <a:lumMod val="75000"/>
              </a:schemeClr>
            </a:solidFill>
            <a:ln>
              <a:solidFill>
                <a:schemeClr val="bg1"/>
              </a:solidFill>
            </a:ln>
          </cx:spPr>
          <cx:dataPt idx="0">
            <cx:spPr>
              <a:solidFill>
                <a:srgbClr val="176F41"/>
              </a:solidFill>
            </cx:spPr>
          </cx:dataPt>
          <cx:dataPt idx="1">
            <cx:spPr>
              <a:solidFill>
                <a:srgbClr val="1E8E53"/>
              </a:solidFill>
            </cx:spPr>
          </cx:dataPt>
          <cx:dataPt idx="2">
            <cx:spPr>
              <a:solidFill>
                <a:srgbClr val="23A561"/>
              </a:solidFill>
            </cx:spPr>
          </cx:dataPt>
          <cx:dataPt idx="3">
            <cx:spPr>
              <a:solidFill>
                <a:srgbClr val="5DDD9A"/>
              </a:solidFill>
            </cx:spPr>
          </cx:dataPt>
          <cx:dataPt idx="4">
            <cx:spPr>
              <a:solidFill>
                <a:srgbClr val="28BE6F"/>
              </a:solidFill>
            </cx:spPr>
          </cx:dataPt>
          <cx:dataPt idx="5">
            <cx:spPr>
              <a:solidFill>
                <a:srgbClr val="74E2A8"/>
              </a:solidFill>
            </cx:spPr>
          </cx:dataPt>
          <cx:dataLabels>
            <cx:txPr>
              <a:bodyPr spcFirstLastPara="1" vertOverflow="ellipsis" horzOverflow="overflow" wrap="square" lIns="0" tIns="0" rIns="0" bIns="0" anchor="ctr" anchorCtr="1"/>
              <a:lstStyle/>
              <a:p>
                <a:pPr algn="ctr" rtl="0">
                  <a:defRPr sz="1150" b="1" i="0" baseline="0">
                    <a:solidFill>
                      <a:schemeClr val="tx1"/>
                    </a:solidFill>
                  </a:defRPr>
                </a:pPr>
                <a:endParaRPr lang="en-US" sz="1150" b="1"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chemeClr val="bg1"/>
    </a:solidFill>
    <a:ln cap="rnd">
      <a:noFill/>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ln>
              <a:noFill/>
            </a:ln>
            <a:effectLst/>
          </cx:spPr>
        </cx:plotSurface>
        <cx:series layoutId="regionMap" uniqueId="{3017285F-3573-4374-89C4-64C35100BB85}">
          <cx:tx>
            <cx:txData>
              <cx:f>_xlchart.v5.9</cx:f>
              <cx:v>Sum of Revenue</cx:v>
            </cx:txData>
          </cx:tx>
          <cx:dataLabels>
            <cx:txPr>
              <a:bodyPr spcFirstLastPara="1" vertOverflow="ellipsis" horzOverflow="overflow" wrap="square" lIns="0" tIns="0" rIns="0" bIns="0" anchor="ctr" anchorCtr="1"/>
              <a:lstStyle/>
              <a:p>
                <a:pPr algn="ctr" rtl="0">
                  <a:defRPr sz="1000" b="1" i="0" baseline="0">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layoutPr>
            <cx:regionLabelLayout val="none"/>
            <cx:geography cultureLanguage="en-US" cultureRegion="US" attribution="Powered by Bing">
              <cx:geoCache provider="{E9337A44-BEBE-4D9F-B70C-5C5E7DAFC167}">
                <cx:binary>3Htpb9tI1u5fafTnS3fty2B6gJeUZMl2bMd2nHZ/IZzYYXEpLlVcivz19yhO0rY6r3syGOCib5DE
sKhSVZ31Oc85+ufH8I+P1eO9+ynYqvb/+Bh+/dn0ffuPX37xH82jvfdHNv/oGt986o8+NvaX5tOn
/OPjLw/ufsrr7BeCMPvlo7l3/WP4+V//hE/LHpuz5uN9nzf12+HRzVePfqh6/8qz7z766f7B5vUq
973LP/b415+T//n5p8e6z/v5Zm4ff/35xfOff/rl8FP+tONPFRyqHx5gLZVHhDMhNNbo8x/8809V
U2dfHkcY6yOBJZGYYf35z9e9z+8trE/uq/xT4+r8/uvr3zvT5xPdPzy4R+/hOp9/vlz74g5PV/zY
DHW/l1oGAvz153d13j8+/HTd3/eP/uefct8kT29Imv1F3l1/vvkvL+X+r38evACyOHjlmWoOBfdX
j/6kmd3qNSn8mGYYO6JKI0m+Cl4daoYdCa6pVIh/3fVJJ7uHe9N8fenfV8eXZQea2F/pb6iJ5OI1
AfyYJqg60lpxjhj5vo8gfsSZVFTQr5t+cY6matz9w3+gi+TbygN17O/1N1DH60d8HrxevPNHg5c+
4ohyyah8UgzI/3nw0voI4b1aNHuKXeylfg5Cyv9+rO/Hr4PlL27y94hXm7OvAvlemPgxLyHqiGvO
MaNPukAHmUSRI6YkZUR9ecOBs2zAV/KH/yCNfFt44Cr7y/0NdXJx9d/TCaNHmiqhBBVPDqBfOggm
6IhzhRGEr6+7PoWuC/eYNfXX175nHd/3ia/rDnSxv9TfUBe7/6J/MHSEIZdDOPoSjA50ofQRZqAp
rvg3XT1FpC9Zvaryusn9j+tk923lgVb21/sbauX89jUZ/FjUovqIcsEYp+hJ6n9CWQJQFqdKKvUV
Hz/XyvnjeP+fBK2v6w40sr/a31Ejd/89jTACMUsTRukXtHWQ1CU/EvCEC/zFj8TXvZ/85Pxx+umu
ceXXV//92PXHykOtwPX+hlq5OX9NBj/oJ/xIMaI1+uIGiLzMJEocUUbJvlT8hpGf+8nNY11D8ff4
+NqRvp9Sni090Mv+gn9Dvby7eU0IP6gXiF+ESikIf5L7gV4wxkdCKkKIOPCTd/29ee0c31fG06oD
Pewv9DfUw/v/ee3+P6YHJo8YxlCLKPmURwBPPS9FnpCWYAox/L088v7eG2CR+v8Ecz1fe6CZ/RX/
jprZ/Rc1AzQJ1ZpT8SXD/xl3SUqgctHfr0ve5/5jU/v8PwDDz5Ye6gUu+P9CL/879/WNJFzd9/fr
z+ziM/rr9aefQwWwnQdLXyMpn3LD7uHXnyGNK3CWb6zl/kO+rPwCfJvpW1X4bMHjve9//TnSAKu5
BHpSAQsARNj0+PQywDYG6UgAc6klERyiX9243vz6MxRFHAmsgDZQGjySASvgm+HzI3REhdRcIaEU
k/tVX+922VQzVETfBPHl95/qwV42ed37/QeDabVP79sflCNNKWdUEMo0IpJSgDLtx/srcHR4O/4/
s+37sZa5OkGdDadR4dvVVJLyKlBePth6XHZT2jOZyIpnWVzOaXlOqXV3RSF8G6fSR5c4kyiLTTuP
l4z26W25kJSddnkIH02fF9mu6WiXJmk90CjpwpJtBpzqdRoqeTvzfno7uJb62M22Sk9MoaqHcZz5
2dgN6taEpnDxUjll415hMq/qJtikp9POaJbvRj5W68LQbohFrXke15aKB4VF9VgjucuqajkvdBjf
93nHrso0GpbVMLbpp54u9iKLxjdlNZg6nuu8uFtS2t2zNBvfh6yzCZm9+RRR2maxznjXxS7Iy1aM
2q7CTP1lwbPwZpEOT7F2bP4kbRS9bepiGmM52ux8jEi6E6yVIs68wnk8NZSdEVOURYKKBes4TIO5
X9qs3lYi9Ws+puYOzzQLCVVWHXvJqYy1FdX1jI25GPiw483QZNt8qrLjbNHqhBM2HqMmtHS1WCuu
rcmW/HipTSXjeTYkxA0mwxKbssbZqmaNfpgxCm0yKydRYqpxOBXa9QlJy+5kSMtiXXgslpg0jUiq
LuhTt4xlzItZ1DHSrTpnc6PzTTrK4WqUtttms2m2ZYT8BxOlqk90bqsmYYtor7tq6k+wVFHSkADC
0VXVx1FbVxdYphLFKluKi1zMzZBkXI6/VQOaYzGwXp1i00gTm2UOIU4zqU8oEmm/yuxUrCtfu4va
DC7JQ97NMRVtt2JTME2MoElx0heWmliYkF2qvv3k4VOGLeqXLl9FijafpqysWEynpZrinC39x9pR
EW3TVFW36RCK3Ujrbr3ouaC7thbjfYu1uhSTG1dNW/ONjqiTcUE7usGNplkccjxdLL3PitsOlWkY
3y6RyptqjZeo748lHvOraZbm0hI94+oBtEsmlhjrcpBtYLWJ/Bla3Nzk50hIm55nvtMrixsSY9aP
dxOfxE7NmLzLFOyR+m5VVMs18yFbTzXFPOkxHuttWuN2EzWpjWvw0GTURJ7MPSs33pYW3Ju6ZG5c
0mblFMsau5hp1qw9am3S9TjdFKac40j2ZJ0HPcQuo3ZVlfiU9Bq/aRCWcWjYFWJ6W02Iny0tS5MZ
ObQOqJ63InQg9yGE1sYjm9NVrRxYIKs7dB7xZhYr7weaUJfqTV4s/Qmxzq7zYpY7GvR0NtAlX02d
LY87Pgx93NilOxW+G05IMdirGdesjvNG8GNR1P1VpP3bxYBjlk3xaVH0HY4gDFSqfFCuYatCCBM3
eeFvooFU59UUZOLrzsR54PjasRKilrJ1FWvPdIxEEZK0JCYupkwlI2F9PA7lJWX1rWauSrIFHDtq
6LbosysharO2DS6StKvrpMjRyOPgK7V1i7BJKMVe2s10gyg1KzTOeicbtqxJJcZjRQpyJdrBryA8
leuZOb6TnNk1NFN4iDPmhzdcl2jdhSKczZYv72nF2G/S8mJlSlfFoTXmRA69vJGSD6ftJKoAQcpD
TJENxI4452n0ES2hacHzs+UCleC9EPSLy2WE2Fhmrdo2C2PbIdLF2YQjHdaZz8ImJcuQ9DWyyeR5
lmR52Z3bYcyPpbPqtHTkHgk9x0OWj5uQ2iXmuuvX1o+oBDeszdupMuU6XWhdJSKrQNqEFuCoKtL6
Y57PkEQUHfMOlNCHxKRRfZZz4y8Kr6aHEfFoPdblcmx7gtZItfWqYHLYOK/sb12j1KXps3ZOMlD/
b4XiG8KH6JyXob7A45Cv5ipDN0ST6pOfWX8nccauZRfqt11nsvWMO7SpWja8GZde7QrEfBlXZVSu
uSIVBF2TD9c5o82JMp7eUw8mTWk3nQXS1W8Ubv02RBxfeM/LJPTdAF41zdcZtkLFNsL5eT/q/gzp
dDzzvEq3yPAiGQtfrhqmIGRW2QXWvtjmaZRfRuUgVVyOSiYZxPwVLXpC4rQ3ywmqWrOxZWHPc1Kl
70y9TCa2Lfe/zznJy3iJxvyMjKXfepJ2Pl5w+GD7oUwW2i43dKQkadNCuhhotz6LZeffddlEzhaT
TmfL1IxZXAlUgL115oqLAV+TbCSbpSna1Tx1/ZyIuTfv2671l3QR4dL4Js1iCEzdFjJ6uDdlV91Q
w6SPB4HDeppomSDClqQAqzzhrn/bD7MvLjJHcd//hjqhSxLPYsIl+m2OsqreNkG6/D3jJK37pG/E
AJmoRKq4WBozkrimg10PWHSrmY7BrlsUlgfVj2KdlnOdOJdDCDaU4TF2bkrjzMzD8YTszRRCd5yX
U7YGI013oMpqNdR19Za2c7/itTwZsqhddcLlyfOG7Qt49bFpZ5dn5kuv/Nuv/7ppLPz93MH948V9
q/2P39587dG/+q7jx2YPLv3hm/b4+Ntn/dEr3mPSb43jA5T71NX/ChN/5OG/h48JxQK/ho//oK3+
ANVfFn3ByBIfKY4JcJgMSy3UM5ws9ZEUYDuAkwW0OJkACPsVJ3PongEbjSAnYugiSKAW/sDJQL5R
rjFFQFfvgfdXAbxQJNQE38HJgNKfo2SmuKAM0BbliGslBHqJkvEouhGhrNmNKirzpKwzfkHd1J4D
glCrZ6L5zl4A+/+0l9IYgSw0FOwK6N7niHz0KFo6heudpBM+X8YZnxcD1bczSOCs6xa9fn2//ec9
qwD2d2PQNyYSSaDPqDq4m4soka1CsJ/FZRZPgAXSuAgLPu8Do7u6TwVd06DwzSRyAjzLtzrpO5eF
Mupwc44k9BsUaE9BifTysh2gxtB4V+8W1/cPtrJexBUe1dmMl3AV0kXfpgT91ZW/I2IO0qIMym6w
tb3ZPBdx7/vCTUranbM4XJaV6R/G2uZLrHMXLjM0//CGAoORwnZgvdAO3pd6zzcsUBRa4p3eAkJu
TqVq1Wo2vV5bRaPfaTqKu9fFiv8kVwltZ6EINGpAuERBAfl8w9ljtGSAQ7dDE7oSgnTqycWydGiM
1cRqm8xDjs9VVbOdnEt81Y28vq3bVk6JEeVSx5n08qqfCQEQOPJhjNvW+DMcdPhtJuovrACqYTjP
CyOUHO97T2CCCArRfcH7/Ly11SorIIVtuaQZu4ks4empzyrUbbKmUyvbZXg6wY2BDB/7nuMb8MEZ
EGDltgQZIU5yr+jOzi2/z6h3IjaiAlvyKWlO7aLweciNNScjIpVd127E55YgkENX8gWvBgLQPY5c
TuJpJovatDzg88jJyK0HiZrTNprDFe4hFaa5Tqt4cWPDP6gRcspKuCWMa1V2pDh1lIdLAVFCrHI1
lnpboDF6X1RGp1edIw5MLi06WsfSQxZsYrIYjB/BSkOexTiH3PqmZ3pkb0M9T2c1MlWeCF5M8agZ
I/HnQACFMvhpGH24jKY+XOqycyoJadfeDQVp7xaH6E6MZd8lYRzbO2XpeIm8b2yiuwXCV0CFXhfY
8XvlULhqXIVJbMe0vaOmD1dRF+Eb3g9qlS85vwdMSupdPetwJ5qeDIlguPEgWR6uBubgpm3JpthW
HjbUdZ7ekqIs3WpQE7+vBpCjWkaQm2P4ZtCgtEV1+nbqFn4vIhGu8szrdUcnTjdQ/vQq0SEybezH
NFw92aopMjokhubT8CYvg3+oiibKY4AO7R2Zx9Yf+2msliRyc2lOtExzuyu7qLN9LIhWw7pnxLw3
46RvVQvxdNUD9AprC8BbxGMt2H3jVXtnshacv7P6TM9O37aVLTKoXXKwjFC2UcKy0Jw6NIP6aduE
y2GY22k1CgIiBe9u70IorE2yply6zTg4UJI2mO4GU+RtPLX7u05MV1D1Nm77Wf4s9Dyhg2JrU0q5
0ioyPulqjc4/v6dP0zqxMyogbixmG8Fd3xrZj6sp03ozdB4M2OzdQ/Tl1G69L9L0FAMWb5PRT8Oq
7ILSVxRJ7CjQJxQNcV8pVJz3HbA3HKqfkoTrVtTIZXHahHTcVAVU4CmNYEFd5RjtJtzLEYoSG9Xm
xPs+j45nNBTTqsuiOb1qoR6uYtNw3sZQkffpGYG6+U5oAnB+jroxmQq/5JfTHJHpvQfxm2Nf1+Ox
J6ae4gWVTRypEQgCVOZxxEcOcvY3LU3NOuSzidNazxtNq6QzXdhNtGObVhX0nCsgDcZx2qZ6Dqd9
1oQbYYcmMW2ag9qj+ZzxUiReGvybR6RbtWYWcT8HfBEJ019NpvNZ3Kcj/x3qYw3FOPUTTTKdh9NR
RuOWqSaz8YBIU8WoWc6VG7KHzkPYFDaXJ3VuxHmLap3Gw8LmM1xPFhQeIt/ES5Hlx3W79A86N920
8hFA0RUYtz5haR/qlWaj1zGWMr2lte/rFY7Yu95kUZK77r7GsjgvKhiJ2HYThZCNJQWjc2gEk5pL
7h8Mhl9iiMvhCtIc2DKAaJNvRZRCll5cfjz7vr3juNe3djZDEctMWR7zcQxXSzDpbTCALVqG27vZ
l6GKx3K6D43KbgsuIGA2pLwpIlS8L9wCjqVnTncp8vlxDhTiTrUamVjrtF5BGm1uBLfrJS/qlYdr
ZBtMreInvFqQfr/4Fv9uXRQtu8WwQe2AO1zolEAtFTbUYVeeADdJPyzZyMXa1eVJpdv0bIra7NL5
wuwypW+kMd1t1bv72YZ99M/xrbd6WBUDyCnoAuI8b3F+opuW/D5E6TAllZnQm1ZP8poIVcpVPk47
TodoXNGpwwn4pTxlaePURtekvggDCcNmYeTWGtWumuDZEo/WTCs2k07GUcX4GFua1ue1jNiHClN4
fwsZy73jRpP0g1ZT7uKua9Nms6gmr2KSlQNLSl9GZ7bKBxCdTdt46Xn22yxVs81ZrS6koWhVwJWA
I2pdmcwk9XdNUIBF2p6rMzrlUVLiEdTaae3WeeUZBAtWZe7cKT/vZlqo8yjM+tbZprCrqBL+AVWF
PuMph/BWigWMphvAUnyG1CoL0d6Uhqw2q8w0+BwaDxBLO0EgphcaPmckcBrRG33mJ1BNUlUa4qAd
CjiTVDMwZi2DF4BQBBMMNNNnompzu8pICfHejW47mxHi4Mgz7481F+pMt1WUFKqBnQtIJjaBkdFw
2VLYXvCpq47lDHkcuPH8mKYLu1+AeBuSzyFQmiF1axlle9OfUGUu+6lWdTy0EzubhgEdAzO9QA3Y
R/6hpiVkDkwdWARZOn4vK8iPPucQpy3PK7eau6Yyq6rnEhDDDHXN8dOxcM1dddwZ4IxO0iiC9CUd
RPuucm47zkO47EfAvlZNGii9qp5PyEREDdXvbFl4g0VGaIKcbu4m0rXmggCVC8qyLdx1GhfYsnb5
LK9Y11YesoXoWWPjymRdWcWTQqMEEiAwcTKUvuiSvOPzdRo1/E4YDIF1dhGQNK0LeQx0deEhZeDs
ZpJLM0PcrMQZW6jyEBclvq6aCJ20g4k+9a7Tx2aYdIjhzIBy8kjqWxImMAtVOcjkne7xDXUdpKfM
hbrcOMnKBU6S7yXaNaDxis+Q1odWcUiYDkLVdbrXaFFQUNNgweIqD2qMcAdVQ08W4AJX3LdRvq4U
T9EtjmbGGcgJoOW1oHk0XI8iVKJN8slkRl1VJbRAIFW1GsgLSI3dnG/mMo8y/K5QgJaz4zD1PJYY
4EaFGr7OEUvLJK1svuqnKo0nMZNjG2nAIJIYdFIyZ86p7cckj8y8hn/dKjCuT6piad+A+rurRkFk
KUcT/RYinZ9EfZbGozeQemZltxk0beI5yGhTDROHe3RiVaPUxEjqUzb7NOksfZspCOnUZcMGowyv
3IItNAhCt2tGoFyyvsJXNYMQEwMMcXExujzGJSCSXtjyU5QzvlFjk2710tg87ruxWYEHTglEhU+1
6z5F1XyhA5t2YNcADIYOXei+RRfczuNqBHpO+Nluw8C7NWDj9DqIYd4UkERXRWemdWDsgqGevQlk
qN+CtiEv16E6gcxnj5kto1hGtE+UFetMV2+GkvmYgqgu0Nxm79pIDHeuIfS8GW3RJDRDACCBVql0
Va/EeEktvgLkV69JNKFPXKT8hNKR5XkMBHeB6riWE0vVNiqWRw5MizlnA7jwBsaYJrOyA6oaANrR
2CYRZGAfz8AwQgQxCCIE5CuIhn3RnA4diXaCzl37xpcVGCk0N/RZLhxY5DKmoHvoIRl/OZdTkScj
wO7V62XUvup4UZUoICIkTF9JgoGCOCz7l5EUGjJeu235Z9A/BkRitwe+r+/zp+pHKQWteeAyoOxn
ULi9rH50avqhaPp2W9UCgvEAzcSbzruoilnAzalg+9Llczh8fd8/lf6wL8wlcyGgMmVQKb7cF0ry
ihbQO9qGohL3fWTd1vpQhc0kDcSvxtYzMN0GYnE37lHu67sftB4ZbK40gaoYHBwOgQ9uDfQgsCdY
NNuJp1CALNAruFH7qFtID9EeiF74H7UOypI98iZMQXD/fIQvPeQv/MNTQ/Q5Z/acQvv/mbF70b//
Oq+w7/t+LrC/8TR7RvBFP/tgbPwZabcvzL9QdkIcaUB7AgZKYHYXMwT6e2ptw4TVEZB5MIkFBBwQ
dnsK6wtjBzwf9JslDLwT6NYCzfaFrsPwBQZKOHyBBz+1w+WP0HWfu9Z/OO5+R5hm0QIDdSWA0iIH
tFKFC1fjqeSPCqf9oNekZW1UJagd8+WW86Et71nkuN/U3QydglVPAjchgcYZ+pDVjtWfG5alPNGG
z5CcdFR320lDjfum4hbIgLgpA28/8LIvQrOKhKgKqB2kZPhRhmYerioTZHWvFG/Tj9TSTpxnIu9a
GlucezgKa7mzFwYjgDOrrOKubONm4taeYTl3cOTMWjyfEkvr4lPkxwbWvO5+L4POnoiCEUaAX+D3
oD7ww5fOL7HNByOMekwnaFoDsW9ZxbYVVCZObhef9fmULHkLX66qUJqTdPP69nhPsj3XkZaSwlgL
jDgAvYHhMC/3XwqALAKJ/KHAJYXg0jeUQ/dQaxJ1xcaFKXP9ykG/h5k4YtHS1pcTo7MnCYbe8kRP
emFqaOA0MF7g8DmMTHTw7PVDHvC+QPYCN0oRhxQAY2pKHoSoUpgOTCMazw3AeDjcYicpfm89r4e3
c6QGBuPL39zsSzh6Po/xvf3gSzxP3xWBqHzAxUronAJJjobzxTpOujhkpiug+ixz3sTO5xmMofzI
fhIrIJjhfvtvPDB8mADolGJcj3lxnhbZGF3XZTEjspJlJem69p2EK7++4V5gz5Quod1JYYRc0/1s
7H7s5aXSg8kjYhyNHkTkgItbZYvMZLepFOspimvXC/F7yVHa717f98DY9/tCJ1sSmEEExoce7tsO
cyObiKqHDKZMoDoAiqTyvxmWkhoo7yIf8osasnDfx8Y0MKn4F9d+mepAn1SyPbtNNINWIgSll9fO
+JhHKBj6EMlKdjThExL8HiJT1O+aJZfVeR7hBr+hZTcP16VHaDExjONVIJTXBfHSwuAknMBAEecK
JodAGvRAAb3IUTGXdfox1QvUPMdNB3Q/oOTUej0fw1AIQJzV61v++fLQyhBMwMwSkN+aHRi1ASxR
gV25ByYmCJubGcZLMGBBNw2erXOVMvG7G0DqXeyFBP9q0Dw6vR7zBrXTXxgCpocWyDWCMeB95IPh
qj+1OzK9FFy3ffTBQAPRRtsAtAtEGBsaaHImw1SwhSW59TNp46AJhVPxHJnh2raimJM6wq6+1hZG
N+pVxxtHruyY1/7D6zJ7icyY3KNBBm0ZjoEYB285CM7DlAI12y3hQ3C9AyNAQ4lAWChMlEdxcBS8
tSVlt3eaHuaK4EfeZsOPCgtjIaFrAS19mF1jkCte2q3qiO9nL5oPdcUjSIoFpIMFyOgZ9TM/pSmH
ROozoDrvbcFrSFGutQ7zrYqKCAZbOgPpa59KZwOr6nypxlMGXCow0a+LCx/aGHwJGMbiyH6OGExc
iIOEH+hUt7pe6Acg/EVk10Xv22q47JY+b+tk6uYODhdJO8KzZu5sM69UuczR9dS26c5rVxVZYpcF
zafWdNDzioGEhXmjZOAoqq6E1dkCE2FUB8gxJCpgFOUELbqCTy3zdIIZlL+4EPRPXwRKqDEBFgMw
holdART7QcQAy6y7sR7b3yVveMGTFrqcYIppOgANlOAFyjfgRuen6FkNDJ4Nn8NJi1MFj6BopqLb
DBP9a4dmh1GcAHzTkByhZQNd1z+ZRRlKb1PTtL+3DryoW1NfKvaGYEPnU+qHGcQBMxDVAmxamGcZ
D8ZNnUkg4E/iKuuWNNo6y4rl1kWDF+cqF3vEFdhoK31cDnyvnsZTDSY0j5KPV60ryuV2qUQ5lTGq
qj0KyEH6oKCm1gZepNCuX26VDQF0R2FaDX74BWW9WsHcBPUbIYe97sqQ5YDYus/bQ9MpAkJLNaGA
j2gAjcHJ86jeg62+5ba8D17UXbvRo8PjNUyGLP2Zc2W6n6ywjtgkylIbthkDtHIHtFTKbkc0YjAy
qTIAbmNXN4D5XreNwxAO0odeLaRuaEkLDhzVS6ek6VxnGCi134Fy8EDcB4Jk62G6sGiqHR26CQLF
6zseRiMiIRYRDHkbA278047eIW8mS6c7ugx7Y5wGtg9/xMsSkrcYOy5+Twu6gBFOZIAxuDcSAgvY
6evH2NcHL5yCSgFTAJC4OIEeIZQdL2++0HHoIi3srYUWZg8tjWbg0WMDnQGIRqb0NV67VDb55ehh
snCKW8ObbJ2pnoxNDH3gqRqBo8q60ypV4jpQV6k59lCDjle9ilCedBxGpk7BiIDfhvGgFDgHlgI0
BGc3COywGQ2gi11alP3e80f40tYFfLFBtjCDWDoaxuPXb3wY1xSFBAVwA24Nt6VQZL28cSlS6JJ0
Xr4bhxpBVcCdI1AVjMvebhmALLY1eApgtqHUFH5k/edSIRLt3qQpNGpIep0GsTdp0uWAK7d5S+g+
RHaLR3jTVdBAg4lRPpfgdelk90UKBh4MvFPiDtzo9SuRg8imAAEpSJsQ1UCDGAiPl1eC5qeFQaOa
vFM9zO22m77N9gfoIwrdo//L3rc1x4mr7f4iqgCJg26B7vY5iR1nJblRxckMQuIgCQQSv/57iL32
Wsl8NVN7X++5GFfsdjcIHd73OfltHcPBE3BtXACthjQ1T44txWqDgyYCYRpuE58d35oM8PVvAKgL
emhij3EwYZvyB248XtWB08HbhHbI57OKCkuAkdqVzHXAeYHb/Ydb+63KxK1BbkLTBEsF5Mxf1AyL
V0nRuyk8kxaEiqqAwGJqAXvtpu9LXKoUQuNlMvunIh2P83GIpgQPxOdD34bTPuTJ0oLritz2jCrV
Yji2QhLMPrLu2E3GDjK99UK3Xh+7m8O2edWlesO2tqAiwQd2C1iatEbTmmAohpZiKJalENFSZwCO
sSRAVkj863V8jq1Q/V+1FNCq57DFodLOADYfkvLf1miy7TQPuYk+rkMxYXd4LW9TUfpVQdacinb8
p23ht+Po+EgKZU4a41iKDzHLrzMqlhNKSO2Lj7MDofRtCcuCCYWzH+NDpaYAjfkWgdSBOJQEDHi/
8hElCzY9jNJmfb+8L/K55PIMrXuJzQALcn20cM/gBBhASj6CtMNB9fbYWrNBkVf5vhyxVrCKjsfR
Kn88iEh2Cb5AOszWx3gaJlxJphTOJpUvR+P/91OOMoKb+6+OCjd/HALYJBLkn/y1o0I5OEdt7MNH
AX4TkChkgETXfIu5fMjTndpwMsLmuqxYCmxWQC1nOgOJoSM+qzSqnejWgt2l93wQBanNNvn2e9z1
8dXGHc0bVYxT/4NCbmwfhykfEDazJ/32jq7Qke9NKaG717VB/Ti787Zl5fpgjeB+qvIhHpI7EtuE
NeNoWVJLvzjLKxBcZpeVGFdLPegGtWIxrLvdAqStUSapPLM0cfQp75dA2zr2idvcBXyeSDjqN94u
14soUJnVBTDEfQdOgKmorz0MCq4ys5b5eWVFS5psiPwO5dKUdp8caDPeELqkSR3Qn07QmrfLzBrW
pZuCAr1vr4qULI2Z4m2/5WyM40uyJSI9t9Fcivik1TTQ55CtrYqe2RR7/xEyVrLcR2BGIuiieeF+
gHbL7fNerO04VXqaEjF/YH7v1YV3gIsgs6TlMFVMTSQVdWH32ZQvySDL8YdI9bT6BlMlmD+YW7Yt
rlW/zYm8WvhosrJBH5D1+YUPkcofWFJESl3WHPKDXvwhypEsGGUP7ZOl9zuZVkzpPbGzFh9gPlry
+DSOFCqfa8d4J/q7MfPKtCe5tsu23gGHbTvIVOmwueyRjykx17mkoi3PmCs5UZVeQeraup/LbmNV
G9HcLA2g4l2G662dI9Fdtm7AaVMrtlFssKvuXPZ5ilyezdeYHFvE642gbEkenEbVxcDIk9Ln7/q0
KPBlef1m1HU9fgb3CsXH7dNMzcvuDEvXG5lb3aZXiY8ikGZBZtByXPwok6GvMroe5yJUxB1upyUZ
DpVvngf4rmoJnjZr34VNb7p4L3kkt/5cKBKl+lq5wMr1XS5J1rEKROuBSRR2yYT6VLScR/stpf2M
kYpAICbDPXZtI7LbiHBb9HdJZ7qkfy/lJkt+2iQ2gvY0dQnBtWPLOi4prFEfp6cYKtXONLFW0pbN
uMRRNn5O23TE5w2yZ+zZtaUxtUUfjJFNS9fhBKmTXBxvgutHyQKSmR01PRUz7r7WIhlJDuH+dowY
6aEEYdU0iwVwzlAcWz4FIQWRMdsgso1P+4h647IwO+B1+vVWxZLtGD4jC/yHs2Tm+LReJAcklHTH
40k0FWn2r6T3xziPlEmAc5GLLB5FNKpS0D+MQUNjzrbrUGnVW5mEAkxmKaDQxhOkzrhPixxdN2K8
IrFPoCZ3mvj7UhbHJXd40np/yjGz8AkEPzIvPPLHBMttdDz5LIBlfOnZcAzNuiZ4KY7Y0my4hhX2
ONzj2/1YC9n2CxBMge9lXk/5k8ooZ6SmGwMAVGmoQjAWb7OH7zNE7E0ho+Pm+BJ+DobDrLH1W43L
sj07/kUg/b4ncWejp7ehjl5f/u9Bfn0dkIJU3RepHnAByRiJ9UV1ue7spRtJwE2bdEfGVwXauO3i
JzTg7cSq7PVBTfu6YKqh83a2vR4TFngG7lCsIX/HIHHBKK3p0OMlqQbGBm09g4SQVSoOR9HbDlmK
b/ZFG5sX9jqCk8YKwr72ek8i7dCj1Xoaoce+Cq48uvP49dG+To+cKwjETznt8BunDBQ73tHnQWCe
tok9PkZQAd8Q3CQmLsTzDkYTwm/cKTmG93Ui7S44XCVu8niXpLMzfg8GVYLZNS/iuPTXAY32bcc/
pp5MtDhFcQYg8npPs8LrS3sgWvFp69yENQ0pwoF8QKljXrq1SM0LuPcR02fOULHi5i1kY/m7GeTA
8YbpenyhK1QkGJERrisI1fbsuP7R5a3Ynl3f9m13HltokJ6EIUlLrtQcimS5Ja9zBQYSthSXtyFn
YHJxOb4jCm+CE2DCh0vdKZzza2L2PH5G5SbLtdEmWsaujueW48MzKZBR1iy9BrbZAzAAZIPHJBx8
Ie2xnB3OV3xPBZfL8qxQLPpwQ9jc++kKaoEYioqe0X5YKz63gA0Tlji8XixmxhcUjVn/MBiH/4ef
IHUWbwmgIgNypH+AGJADFNisxKcnop3WT/nIPboAHvZj7m8MW7k8e2JS7DClFb0rT/2AI3Y4+Wjk
bL7OGI4q/yXOvcR+0/bTpNTVGz4vl15YeXaiR7/7PdAZ2QlXWgoMx4X8XDMwb/QYsJlviu+fiCin
bXmG6k9s+dXyeuseBhYMEdF+V7gj1cKBcsr3OMEut1h6DF8CfByDCbzqmOKv+Gk5K4ikqsSlx/0u
XZfii8UEx+tNByg0qrp+B67MaKpGVgGyCPlwT3Ri8Yo8JEcPCynVjHn1CrLsSQbC/OxGY3l63XJI
FaNqf4XeONpyoIYmg2YsXHii0PoOA3qnsV56ABPZ7QDWAHe60K0Dq9GqcsFWSXIecObNATuNPKPX
OwbPdeSAClJXKpAbsoeiNbu1ocddftlQnvHoZuMznA4PjMgDpJwcjrv7QnGSLx8oYKzAT57LKIhz
vumsn+GOjIDyQy2BBvcrbUmClhyHIcPD3yO6467ycTiOjSHjx3SDJDXB5HsdSblMQKJJF3dkvdn2
bODFB7W7LXqyKKaBKuzasPwr9luAtNGmIfS7SBof98D1GGHzf6Mt+g71KiprNkyb/gq/kDDJC4Xq
o3/Ic6MDP1OIHZboz61LpOcnnGikz6q5B/4d1WWfFPYTEMlNLR/j1si2rXkWiPCPW4Haxvxga7ea
9MvMS0ATF6vcOrA6SvdZfdqpS+lUwTiChqOCKW5CTQmTFHOJwywfJEvrFd+MCrg0N1B9vnm7k9dn
abQEQFxDqBCO2/q53fT9eux/LLTHboLq/1i83Twcrxh/ovdcpsf3QO9HeEVow/FCToBODCd07ge3
0fVcYym3qBb5w76ERJ8kFuqxKtlw/ORtyqKmxE7EIKHGj17x8GM7jdra+mDhB01SG5fvnSjaDSKK
eAR6TsPOWXq9mfFY5W0EIRuwdJA++AI1JXYLs8eY3zQG//AA3PK4cnBK+NW3D8osw5FmMFWip9eO
DYbYvVCVHLWjH9TrhgXx0fHOcCccYHTUmwOEhNjaUtoM7WAmXgmTu+jJQXKFe4Y+R2IqdWl7lHGC
enxGsfbHZbmfCy6aFM6RimfuWOQ6PXjbZtz8MScLvkNzUMEcNg7DScgeq/H8OiDAgY9NTyGrCO9L
ITuUtyIlfVH+A/D1W0MPLOdwnMRgqlmRJ3+BlcUCDgF4dfok4IbFVRct9HNPdpuwzZqIHiuoh8ob
owBL23Ht/9Dd/drbHR+fH8RJfKSW4fN/a2yt81O0zQWgqtetEY63Y12hD8BK+vuP+g1Ax2qKwTri
swBZ4f/5Ab39lw98g3y95Cgl/z1HYuWnqYacEUKigoGzwo6ci+Ohuk7iCU/UUjyyt83x76/lV5gv
i2PMnzIBKZlDX4B5nv56LXwlKeBb2T4xsGr51y6Dw9yc5xnZbad9Qun8T+P81w9EbgyAAyhRUoCL
7DfMQgkbJ/0QQ6LvRxwUrcKJf/gisM29rey/v8HkgO3+07QfdwjsNs4KkLlpAjrqtw/0vaTtuPT5
49uOsQnYVwX8cSRk2dnTuVzPUvPdfnAbCRKKqfHYz4nF1hDNO8V59A9X9OtMxxWhlYLrCNQoy5A1
9bsLKLA42opAzGP/uqg21HVY494pjn0dXoYOjwAK3oMfZnBO4wpMJI4LkZoYt9ew62N9ZgOZsrjy
2FpgIjTa4OVYHzx5gNoS/WS9vfJZ+nWb/fubOJbDf40qrh9sCcWEgR6FAoD7DVncwu47u2fqqhgj
q7K6GIaCfM0tnu8/zZi/fhR0ASUIJ0QOoSf6fWUOPB2Ca/P26vXkXDM087jtFMrAf2Jsk18BU7w7
FBoM3PER/sHyv+ikxngRXHrNvscSqOrbLEhzdVQ2lgxH97OV8C/V8UBtWlSF7QHMV9BfJzOSEkZf
PMstxpr9+9F+k4j814ADcsMQwGWX/uS3keL360KNY9AbRSfmi91hwplPaeYPUt/BbuamP+d9BC9c
T3MLiJJVA4fXBQr8rF2S4RaHHqRBbT0pDQDlLqVo4eP3A0fKxHQVcMRm0wP3nUp8qHkK5ubLbAyU
jicrU/jJT0Pv9nSp4ynO56EpbQbE6o5ALUfy9+yVFlM5anryjo9DYvy9asUKzThqhbyDTTqWkJBc
oV4vIDzsI6kxRd7OeYj/j3NNvZ7OKHRL7Ln5z93gtWJXP0dzE0OKHRAd1nGabmsaoS6c0hLl9pg6
DDcqldwVD2TuD+Yuei0RNDhGPLdYl8kONe+8DMlejbCGjV2T66KXDpb1V+TA4PSB6PS1HvhZiICg
2jC+sAceZ2FhVgA0KNFVnp407BDR06BQnK83MUD/rq17P8xoSwCL97J/JqgeGXmAs5dRfS3zODp6
6nm1gCvDazvDtjATA4u5G4BeAsgoANZXUiyQbtcRgifgr60Mgaopfc8Mg6T31JqcZuZjFti6Tx8B
2x/EEEopqCkfpmUGFv+x0wBt2wbzHKz8WViTwDY/JKjd/gzo4ObyJsv9ln6FwjcsiJcYNq4/jIxJ
lZ7kOEcxGko4QP1SIzwFlPRpnAKebbP5FIkJ1eGtm9YaFU6SlXVA7MB2p9i8zHsFVnfr0JSy0oJe
7EQ8X2jcL9tLHg8qiIZT1K1jNRTjYD+PADCQH4DskIO5eqtkDWjlNr8r4fhA3Y5UjRyy6bdyBfjx
UW6FEc4a2Nx/NnP9z6JqLHqFzscyCEt0tdo4HxLId9qpwGWkCk7oTUUr+4i9cCqf9Mii/jx0WZtV
om23pyx0MPqHbuOXjq7kqovJfj3Yw81n2+mxsHlae5aJh6Jb+hjQ62o/ckzqK9pmUPFj9YkXaXX/
uY27qfEsgaq27MlyQc8IZCYds9tSx18nheU4wpd0l2+dbgoqBJ5uHNmzLDw9yalz73bZL/EJxe1y
KkNMeszYfPgutHtKE6pvLY3a22Gdl1M2A8mFnqO9WifHGsG28kOhhQE9rrsf3Wx40wskqQQ6jk3G
mbkp93Q4Bz6CTB11RvHWJXzdVI7FecNbXpdoa14gB3UXyAf4D8NUf1E+6fcqMJmdhYynJw3XMDTq
QDrmKiJT+7z5vfzWR2OGjtjBC16m3SlOl/iGxkx01RRF5I4C7TrbZUYanCz4B2BwHWQ/C2E/EjAm
aAsSnTxC+iu6sw5jdErmYXmcV4q+HVtBMwfvbsgMr1mVDVtZ8wL63fJztyLa4xpEvvs+p1Qmp8np
Bd1CN4hQrSQr/yjhOoBBg0f2ZmBg9RuaLPKDX2Gdz0B532bzkpial2L6FstZ3/mCxrdznhwzlGcH
Fdmu241HVXgfF2q9Bogc3XSKiLQpsfv9SLYNxsIdZkeB7lNHXzZttj9MFPk67ZL9G+xhiBNhXEPW
uO8zZq7odV9BeGRdo/dN+ZvctQaa20R3DyEpsBGjM6nXjfTkBrlhvb6x3thzql16m/WDRwRK9inb
wvfYcf5Aj/iNdXZLA4Qu7qrWD2vRZGEiJ1os44MW1H4J2qO0icESt3BPKEgJVF10LUwOkYOlAATv
VJG0Hy8T+u0qjYflg09G9WEWYVG1Wpb22UDR/9kiYyStjHcI7UislpXE9YG4LAFdYeF5sdfUl9t7
ls6ir8d9ld/koPcKXMnwCSGmptJ6TT4wYPHXOoV/0tmY39BupN/mMvd3yOexML0Ct8SH8qXiLjJo
7Fx7l5fR1MGkrNg3G6GmbkqUORIBObNBREyuztjo8xwpOHtxtcCx+h5yF0gkNmGf02nUlxWWyIvU
a/7NEv68od183g0sqhejaaikGdo/AgbkIpbCuROqqfC0WJbxylID4lO1SxWLdb1GooK+GJRzyWHW
Zc9sXNgLQRDQR2n59LLu6/6HwwRv1mJK7yn4+QtSQNLGeLM8oUyLqmwb17vIzurrHk/jhfQJh8AJ
qOyDCDHFWeaxI8WyKwGrwEt3VYDfqPU8yovKnH2GRIrg+tf0JolHcpY5mb8A3jLv2SjsVRJ69jTA
7XXbwtJy8gW2XHSTQ/cwwphwYx3d3o8ztx8tcq6+E7Vic0hNWBEvNGDxABp6l5DF3XpbbNfd5skE
+KMcLzwfaIMuE8pPoAfseo/gbeBc2A97WornEsLJL2Yvl4848NsrLLbifk+iBVKgvDv3jGd3IIoT
Ui8D65tyDyPBfLfjeW+j6b0Ckv0eYnMNJ6vu47PdpPmiF0dhj8z2/c4y6m6h91FosofpY0t2NmDP
HvyJFKq8SkCd1ave6btybQkAbhv9iHgKKdddyOjesRoONvQETeGADJd3KiNrsZxiZIUiF+k/zjeA
Ff1DRMP4/+J6g2LGPXfpupqLSHtCfzG7xcPIbn73uJVsHxBntC/szeM2RaDNb+HeLDDWebwt9s6w
FXxJ4pF2dT1SM7wjnkYfipF1us69FdNJMG0fYXxchxOY0yBuh05NCFyyYwZhIedJdCnWed4fQzla
Jy5H6RE3zHgEzSuM2oRUphuF1hZZO0mByqXOBsd/BnT9L44nqN540mwJSsTbBf3s8inr0ERZ7CMW
zjkk/8TtCHXO1brkxU2W+niUH3cSeLrC22NihkwhbHbxdUkBrF9MH0bbiHXO3BODU0VCyNL2zFY2
4m2v6ogy/9QRiE+qFO67D1NIov2yoV9Dlldh0vhuY9KPdWoBh98XPbbTBjqzvZkAEN1IWOpqBJOq
mwU+csSi9CHK4XeCxXCM/dAA7hjUIXbSaTa8WxYqy6UJucx75KA4+KtOUwmWsHZJSIcTTVwv7uB0
k3k1jEBL633xZqzIEMCfFE6qqxH+ounUbtl2rzqgjY30nb+Csz6BV7iMRQFkSdrkWrVWg9VzWRGq
dAOJnC/pgqgm5ot6kBymIBjCjswoQF+fEh3ZHytDaUKshudqmnhCTu0qUpfWKOFENNWguKHoghNL
5I8holOBwsyVoetr7KQLXjDFETK7vmMTMmV+ErrXVdYa5Aqc1FAkhTjp1MNMfJ9Ea+7gABsHfiVN
Sb+16/p130X73Ar9tWU6kxXahOFpg0TixEtuLzEOjxibRG7BIhX7bR+Q+mRJ586rsKzWRu+6KqB2
hJFoyIYnO/Z5Y22ONKOyo9hf12X4DivYfi6mHmxY6/k9iLoyrhM/b6bZcdjQ92wW5KmADsfCVArI
BPMBEwZK7W77kUxafdBmnMvTXBTt3TyN05Mz84IsGt+uSIMbhxZu0sGza7g1TZOOpj8rwzNIr+Pk
xBYx3SqeRfep8vQ21eD+pnYGB8zQFjVpytdvoyvcZfdpCldygUO4idlq5pOGkeYBMrxtudZHHA6b
t9gj3aCVNc3nVVcsGTikmNAVuus5x82dArDip50j8p6DPjYXCZqqsViUsGUHZR9wyuPw73LVN51E
fYFL4I84dbqzQ4RL7UYtPsmuTb4CwPJnaF/YZYrZcC50Id9HMrb1OuTiM1IWnuEqBy6Jxu1cpFx+
mbZ0maqMTNMXEnN741LCkfJmvSzrDhjjDdcpbrqNARR3fq3RhJN3iCZzN+uWdN+VIMVXxdvks0rI
dreCAG0ybaZrAuT1EzDsVDXY07yuiIzNfc45Qd0KS/AxCel3qo4mPYzDcWr7dH6ZkNcAv2LegU8E
Jjvl12M2dlM9W4RUgbLZJ2BuxSaTmvTYRyp4tGR23+s5fRFCLKpKe1xDJftClMiGGUwNFAlzQiCN
4nrIXVo0aOHX3qLWUu3NoKflXxpdm6iVJiT+ioN3sxWLym29ihaVN4uW0RVMoOnzQb+fEwTwuaoL
kX6XZV6+uLXUOB7QeZ4nxyEqmnhGkDhV2lsdoM1AbBtKmjs/O/2i0sV39Qy0bq26tffflyVgrWBR
ok9zGmDgD+Qi4IcgttbTKFdyA6wXfsitQ1Lj1aG+/INCicnPQyEW2B/Rv1URypGl6bmJslNkEJNQ
x/uafVrmvv9S6NXD9UwQbhZHyH1zG0ypIKlKBnENargqXzbRXzYUVTfY/UZ4FY0QEqUcQ+kJMUQ0
PRC406PaIY7RVGGIM32yeoVQH8IOTKL6sMNJqtZzC+WDYYOqETixwLB2tLFrzYPpUtTUZOT753F2
o3qXTsk2N+gquMKWxvJp17VNXNuHSxSncqTvckc40rgS05FvPdSX0VivUeklP4N3Uj6+V2LKJ1aj
2/ZUw/IvhtnVBWzmWWgEaKCyrxxE0RQJlWvgg7oNJQekU88ODZh+369ArQgi4lrHkGfmtOk+t62i
U9tsWCpgI+ASIqOtVm+mfDm3R2IboiNcNPw5m9mvGSIiVDeMp8yAsnricQoK46KhN0J8gA0Ubv33
0mmF50AjqI5g+ncOUDo82ha3/wccskWMcZzlGBqmhc8+ZzZLxdMr5hnpA7dfenYgjGnCvb5FivDB
gIN2P0B/rMO9+NFSHvv8AnnyjvVmkpl1X2DFFpGoxhIAXITOlsstxxGB7Xj55BCkZsq7BQWlf0Ds
SBxo7drZGXXZQRLhaeHIk5N8IaUb16HJ+sWF8ZY43N6OqD+IFWYEoMxk4E9kyXSXn3LoPTtyEztn
wgQ5T7egxkHv0JqzRjIE9uNomRoFMc99Ck0USnfNsGMG1oF0LumlW4ohBA0wcwUg2dVQJrl+o6d2
9LTrT3qDcIUBOxin8m5H6VeeOEz1HGTSypl2VUINo6ci7IRejkSXT7p0/XMEkcqC0EyY4irqsHZO
EG0MP+JRIUkAInJh1WnKZyaa1ULu4as9NeDwdth2f4rVb1jXru8RP7VeAU7t7qaYk1qlubuXSQiI
PyMDNE8rA5+qo/4JmaZbcW0QU1BUZNSBVn7c1HixSwwxoC/1NsLjsqofeo+5wtZKYc/OcY66Bsmn
4XHuog2Jf1vUn1CBokPkUmfZxeZ0GRo+lP4l2rkPMNO3yEt4LFWnsgZ/ZGz8bmPwwNUskXcYjwii
QzdiZSJOKCfsfOVEptYfbeQPxAUVdTrWuxLtGf6xlUfnwSUlNC6pYWPNYzpNJxri+SqZp+JLv/YU
gGXB03aqASgiFrAKRZgfhjKPXZPGmVs+Q0EA9QGkoBCr1ZBGmBUFUpJCngNwC6GZKR0qalCH33vw
Vr5CLl1xKlTe30Qtgjlm6JfhUYBETQ9QQKQBGYzliAhD2KEXcYH8Hw+m8G1UIfDKXMGtb2TtAJi9
7OD9MTc4++CieMJ97vqcJwiMQZCSbyjjJSJ1IFH4I4IGCOCh1O1dhG14/ormchMfCjkgr26GHKi7
QgWT31jkjXUv2CJJuJCVysdpI/weasP2R2sTjHy57R6qL+6AjOx75yvdxdtz6TP3frO9wC3AXgeS
tRgm7KbFAM2/ythjAvgQhnFkT14nAC2QpwmJyb82QuFvzNRMr0YqJVR+NnsyvJ3OSzrGn3M7JxUr
IOcT9ogVJfMeKtiIwgO8nmnXpG5e4Y3qR+jMWbey9brNLURe87hDVdnyzeNyWX8oDNAN13osQops
RsSyVTGB4bFpV4K4QlQ+HCjMoguo9Eg7Ix2yHcN8T5x2d22awMAdZ60uztAT6I+bLxaId5cRdwlS
vfgKY3+JJAoU4O9MdFS8c0kRBYGaOiDyRXEGVYcynWhwoEsImACXvN8HIADVnmudn9QKnVpD4qE7
7cbjd9oMqjSoLwbdrET/uc0CjnY++xqJA+FLgd1ivfXLaHXTm7V8nJFriASdKMsMGoIOKNCQTvek
5+ltKXpVQG3DA1IAkG58G0UifQl9p258dKQoDrOsIaVKv8Fc4kaY6woW6i6bpa1hle9C47Yg5wpB
xws/OdGVPfZfS/pbmaQhOy/5ln2KuND+AciVIgADpiFUvR6SLx2DcADxkIl9mCDUiE/FlgU0BSyF
OcDwGOksQyLFR5V5u9U4N1HVoT5vBJIfymPc8ncb2QBDk3TiyAQbyGcDsUJbra7/QuZh+myXaaoQ
Dg/sEcJE6I3aFVO+t19a2P+RCj37qI5QedxbB5fMDNzl69i66NpKLOrGdqp4t7hlulkyxCqjI1d3
wAWKq4jH5Scgxl2BadDmLzrdCZIL4vlxtSG9VjPipmq5lttRrcUDFCgjIJ5insurmYgxb3YWoXAa
OuYvY5au/SNcvB2iGPa5sZjqtDYkcyeUL8ntGCZEasot+Sx48J8ZX5JKzy6GAzFTyGHr+Z9Q58YN
wiqW5xLl/iWhPHmZIOT+HONXsiryGDgo5z/DulLee3DlF70uWHWl+wad7/JeO2RDVeWCmFysg/09
ayMY2G1ChwvOA4vMknImDRIHboGiRXebSe2/JMCOpvRoVJC2Me6VF8n0KSp7+oRQazrUFKj+tdZj
Av8nBIuKkO/BAf23J6WBB9kXHFBqWJEcBVtI8Rkd7TToR0vniWbvFonwIX+aYcOHxMca+LLBtfsg
BwOuAbzd9I4GKFLCZUtheUgbMsV+EdexE4Pcr6GHDssz7/yWfc+QHK2u5FQOC605tfESNeWa0c1i
81IQhYBrg8xAsqTL4wb6tWRH2VjGoautypEydu2CB4qJZCafnSkdt/JrPo4LNhWjVY8Eoq3IRJw1
qPNA9zdRyNsWuhAKqRJUvSjjIU4K8Ghj0UANTjMoKoWe/ohNFIq5AbcLvdtp1hsSwCB16VoF0Y1u
+aHFxhxEbNOlle0emw8rKRe0MB3xubWfpnLjq2zAZ5bo++C86Tyil+Q0u6mZN/zZquQUa+Jm8+LU
viahwrvoLtTbRFGSVbsW2BmuONyGkiHjNhx3QvM2Zv1FtH4tzL+Qe7GnWdXx8shZgqS8yJGzvsxo
mG8lwkT6HHlsyJ9fz39Pz/1K6II1hGABiY4HRQ5WF2bCX7k5QGXlEkNs/8cw6YPQWF8lGSQbLXhd
xGJRpPIua+wj+AU6CYruHy7gV1L9uADw2vCa4u8agCUEKfTrBXRZgJWn7Yof6vUChlehxKBYjxmH
IOW5fyWx/3+aw//2B4LeAhte/9xAebho/o/x+y95Dv/581r/iXKAO+X4pbcwhxJ/HARubALZBTgg
hGLiR//+OwUJ/hgBMn1IySCPQNoD+Ol/56/+D3vntSQ3kibdJ8IYtLiFSGRm6SqyisUbGCW0joB6
+v+APbs/meSybPZ6L4bWbdNMgYSI8M/9OJwHvHYwSxiK8Xp7RRtT272nwIAOgUkZrKdn6wzmbf0/
ATpwvV7O9uFCGN7uU9g5rDhOLs4mOyeBoI3Zeek1B5R+14IzK1b7qusdBYDMopnhvgZ86sq+r3zB
wCQJ1AlsUZiOZG6OA/pHErhtZZ+3zTGTqJra3aanqssDu4fajLXCWZWHEmvzS4+rykKTNJBP4P3Z
DPH0cbqu5trt/Yr5n+7LWt1MoHnSxpRqO6wtueefNm0TJuz11os2QvRDNGFwywJjbpPzOCbdxKpK
6T97IM+/uCziQsHDNOLGxOQGMUyQTGK4aoUsu0392tNFFo4UANzM2HdANMrHsdKVgzNqQOfXalIR
Pmwtf+qKYn1YMlXcYsiuH+tCWZoIEIWSgd3aVfzGUlOe9UX3WFndFO+rekBW7XpMZ9s7692QA9x3
4yXXBwWaX94erMaycT9nAKrErJdauFhJfzCFo79UO8s5x4r+pOmLHXmZ+TGdVsSJdiXosRnGvdSL
4TS1kDUyTb/PbB7IVmNj7V1z21/YwNwbjoLVsJkf8ami9FYVtlMiPNkXO9G72IRiHgxOU15pdY38
ZC89awJi/URJ8/RmZNB4O2cN80ghN3mtzlFPX8Ft0g319wLP72EqzfUwWrkbpIMzPuq298VKkjbU
Ei0JbCVjoD/yRwZa3TMVhrNO3QRdZSEwEU52WFI9FcNoPBoAT68MBt33+cjDoyuZrOpG9slq7Tnc
0uUKSt8aMg0peLIlpk/QRnmYqKh4qoayDpqyGm91qGSB4IgEiVc+MJNGYV1KGeRU6b0vly3xzVFf
blcchWG3WHqkWXxShUgp4Pgkfbe5jgIsjMm3DIqm9XjZohh4LnXalZH16hke49eK//4uJeHy4EwN
vLF1SbxHh3v+g6uj7uD8LBK/S7ft1tzBT8yflLjEvRxvimwemcfpSKNSXOulaV6t6M7dYJgHjdP+
pl2M7XUa2K5ElBlkZ7PItLAzy6r3DXYuYV+WcyyLJD0ovbyy8SyTlrRvpmmEnLfZAPYx/xaBWyzK
ESw8OvfIORgurPx8mRBGszfxrDACzxgOuPmqHhLgfBPYsrFvPqyzLO5Zqt4ponrWAHOGXmU+QnKv
osbtvoyd45xgVD3jD238iv1Wjf/lUOY6FPM6Z05JXC5o9l9q/co8AMqKJsDwSfXFlB4r4dVLjt08
KTez61FKIrs0JPn5ys1wvNO7ejkoIzudqkyt08p++9m0lTlYQBSFdTKoTJ11Livl7CSZ5YNJeZ2c
pIcZWw8xpAf9VIxnMujXomal2Atm1w0DsGSEXmp7jCrMOqyhhkbz3OUHMFYL6/NifHQTo3roXCs9
Tfge/XUrjRMOtuWhXqotbkSph13XDfFWLvaNOUxnnKHzCRUoKZmJjPPDbKK9aKtyVIjG3s6mljVc
YORoZvWpKRSz8sJeG/TiHreEUV9jaLytB/dz25OVs+3Ne1cYSCSm3pR+5ubJPSGd/A4r5ifiQ+aJ
ZXzPIkv7ZHeTxeyc5eDHceArq3XWhTgP9CsI7/VBZZwRdmpaoQSbVVQxcL5fue362cL9jrZVLIZO
s37cJOLMlHB/niTnYL4u60eoniBx61ztn/pheWpUm3Ar44C7ts6oa5i8Snb3KeSok4H+NMYdocTO
r6xJZZdftCeUMOBrOS67vbPDexSF870j1xWk+qId5sytpE/vKINgxRauDwS1xuRi5jVKfUCuGCMO
apOC+JptB1cXeBUAkHKJNx1BU/mcEULXzOM6NT90zAxeYav0X0paH1bCEYUkJJDNun1XDlhzfDBb
7rGUbrFdL+ZgPyzspp4owuASKWdOvdMgJuvDSEjinG31OvpiM6zPgrM/DzRSFFmgKYlj+jMmoce+
UjAiJJo6nFtddc/9irYivKJh4NmLEzJoeoeDv3qCw8AWHNegE2eU38yBR5PAa+eaYzQhlRw1EPdA
igB3+LU7oAukqzAJTg201Tg/mmu2WSanqXO5PoxpQqVcNuWh49b+HWWLSQFx2PlGMNe7X3G/qaFj
rwuFPVrDOLewMLH75rLJF9Ss/lM/qPkrz+S08eda3ox7BQ/8Ve87aBR6ebIqMR6JxU4vSkltT01/
j7MX+dR7pY9FyjD38wxxDDmN0p90r/+x2B3UeyEQ/Tp0A0GRpPvCSziKflFk7rPci4QgYlZfmUcU
ybmW6Ik+QZz5IelN+5nniBcxQaOSaF11xiOO0yWBVhKROCH+L1/KPPdMbkZp8uyVzXS/4GzgrFwz
5T4vYOjSbrGXIf2oRao6yi0mEqROoHv1dgLaV341RV8+osY9VWM1Ay3YmuRUAgIMCfRwsTIK6O+2
fu9HGueRNLo+5kkdreAXbjomFq+4K+ZveEL6j65pTodGKRhKKqmX0h7Ur8p50IrpvsFYMvh4UpQv
prqOd+vQoOAbiosg56zdcHTwuH/00qXBILUl8tRpwpjDIi/6FdmnLl56JmCm77aGeCzMXXJSFqO/
tUVXnbjm8iKWukrvxmou/R5F8ph3D+pr4onEjJocs3BIWMyKZWXmj6ikaoys5eAlkA3KvmsWMbfn
wsUgPwH/LHXnep1Ff9YwWLMTNdVwnfY2FHIF/j47DZAPzahX0VlsZqeRlTWe6Wtj96DJUYSjZXnX
lTLJ2neSVoSLU3Sn0THZYtdVM7yWQyEcP0/lqAVAH9oPJTCXBgq0t2L7IPf+zWYBdZOocxcauv3Z
TDPvvZM19SeGbe3BoBSpCrnF06KzTmWrBLNXckfEnqaectAMN95mOh8niKHHLuvWNNBTC2T6aqzG
Z2cesivBYPSZYR5aF/DtxfT7YRr9ptXx/xNLGBH0JHaBwshWpNUESPKiZ9ondDWKOxqL+SaY4AfL
E8ikBXiHV7mxgIxSdZacS+qIS61xtK9er/fMPms7Vc5uWyQfck8071dyz+PBaLLlSo5yjacCLSrc
BubH2GHLU5GW9+om8w9949ym0CTbrJ4CRmDR7EpEVfyBD6YAQS0dXHspcbs8hJij39kVa0MXL3bc
2ywsfGuYzM+es0FLMtsufW5M5Np9gGYqvqYY2hpoY67GXpWmtyNo0GjWt+SkownFOJhFuHVGdZCq
Kq81JYtsOdTfskLfS52k7Xyzi3zAVj/CqS1tMLup5SSfbbNNDlOrEkXl19zGABFE3tByVZ5Sllkj
fBSL8W4+pIVJItssvnaMRxt/2P/olKzi1mLMN23SZy8V8Mh3Ocp8rOYWQBItkddDB06YE9zeq27I
lKQqa8R6TjGr1Qq0uKGXRzf30C0b8L4fcKRToUSpykRTVW6h3HWdbkd9sm1XpaJ15xlW+jXfsMLg
mudfki0XGP2EONZdz/jKM5pTX5FS1svtpVupAws0XRsg2PfOPcMv5ZtG1PAfqM//7ZLf2CVzUyD0
8D9vkoNPoOwY5uUAD/7/Nvmfv/XvXbKmmf/SDDAPbGd1GFoWL/jvXTLlBf8yVfanbF1/cFJ+2SWr
Gk5n9sfwDXVt31v/1y6ZDbTBCzrsxbHeY8D/T3bJF05xdumA9CCV7rkJlQeveRHiYMmAc0nK5baZ
DfhZM3qx3xrka4PSmacHW7HWc7FQsBSpaileRWtO7yG/ck8fvaZ/+eno3f9jA/+ZZXfZQfEPPI+C
MYQgFfv6XhHzc6TEbNau9DI53dKepN2mtEqASndaxt7LJIi7TrMpX50JVrBPtxRMVxI0CKakcR0T
jdlpvnpCqHe8Rsb4p6q096QOXC1ebSv5xtpWW95QrPQLV/+PTwxOAZmD2JPq6he0FTNngE9aTdwS
d0/T0Ca0/36iu8Q4CGdFcJiQGYowd5gUbyx0cmDsqhHXqNUAgKdWfM2WkWdOrnRWCNO7ZWZYZyqO
0sEq2eW3RXZfSvxXjAHHEOug98wm9IqAP3DlfFTsG255Ux3//XfYlZGfTPp8KYQ41eGHsDk3YHP8
+jOgaTDm69iHQrXyntuUlZJvljqnRtcAtp6XAdEk0aoPf3/bX+U/i06BHVGEZsOQe//jQrDBEpKa
3ZgCTHepkmHNIG+xuRMIT7Lnv78Tl88vX3B/Jw/6xx4GAoCx61M/n2cdz52tx4F2i6nZ/AS/ApJ3
ItxV98sui9SeZG1gqKvbBthV5/qtk+ZCmeKLcqLo9CySm4I4evn2xFFyZFZ8jQ5dInDQpPWpZGtT
xWTqx4gxWeuvKj99PFf9jGW1bJ1vzNnBIXireb3YTMrRhwo8cAU+9Pd4q3QjzNx1/dYBSA5pA6oJ
sWNUHY40yG7yreTP7z8UXEtuG4Rm2CKhGP96+FRbIvVQF3ejyaT+lDNeoolEKUVDQ+IKauo8Z3n5
OXU9HMlbT9IU6TsPGNY534WzbW2wZqnDoKKYvuVINF8nq8uc899/YgJIlz8yiBdOIhvTAWQOy9kx
KD/l0+zBzVXCxsZNYRJK89xQeNkW7/AN7yDYNZKO7NWHqV4tCcIxc4JBa+JRH7q4MjuwX1VfP6Lv
4Fl2qjl9mYu6PVGSIPzO6rv3uEndkCa/JJBtUbDPEAYDxKQYm9u5U0bGjUym0lRjccBcnKiNPmX1
Eddh9agX6X2Ki3TxK+n0tyLp3wm9VozQnvS90mXVuTeYctt8dXaL6yqz3NdExeOU2a52jYQ0ecGs
Zsx6uKjzk+JS7+LPq7uF2mwp4VYsX7oRx64ku8l8tRbOgfZHeQJdqb/rMyi3ceLQPedv7PA+e9BW
MPo0vfJR1rjNO0xKJ8LJ3UnrveprPnVomXgJyidqbBbHn5iwnIdkkMHKcWDmpXt3uOqWiMlOf9C0
RZuiihwbtlZaEftg0rOEtj+DepfOu6O+L1VDMrbiyKNGnwMS9rDlhVN9WGo1u9IHr3uy8G3E0isU
nfRmvX1y7XaIRnUpNlQ6F9GI0dMnDGjzd4JCnRVsuqCnpEn1KT0sYMC5OOY5WtNJuoehTXZ6v1Ef
6SrC42+bQ8uBxmfuF2NRKLgHZgJQrbVsvimqJDCE0tTYGsoo3bNrD7OBTpyPA5mSgjNJHAwxe2O8
GM5yTe/RViUk7npRs/LPd0vo1yzJdH17HWdl2Ufs3sCtvP2ir3UhjAHHj5SdeitKQfIGC0e/xYSM
REJaI8ewX+hV+6SC6jsVqwFFW/IbJNgWVbQtDEQuCJAk4XkoqhI91qazTg2Gih7OO2Q9NOVjuTrw
0telolbQHoXBGTUnLQJPIHkWHhAyi+Ru4tKx06CnVYoTjlVwfaC6ZfB8RlMYE6IFD1+gJJ7mMTVL
CAwTyUrACWQemMnDXDk0Io0JqwI037TeAnejuyNoUAJlUGc7hXwa13SkR0EhiNumuftdkZOTq6Ha
6oKIiivdWwufbHJuDEc4dB42y9hv63FUubth6Uwzhyz1ONGL4w1jA+C/suv1qI5j3QWWzpg8cBZr
reIBkooS8LPqL0pXU1mAaYq9Mv9TlTtMhCj9UjTNCz07Xn0yBk9UUckm8nGTwsCCjuFEu8qQgxwa
ljI9E3EyTF3zxMPYODP/08uD7PgEUSuqdItcbdkY2xX0+NzULimTSOFSGVBWNHkeDMuqwjQxUhk6
QHLZVvzgkjeQi7dvjGI9G5ehwIEJUyrrTyzVzSPzLkpniPj0Roi+m4QblbrMjueh84DOzIUZGCSF
N8b1xaZcwbtHZO0SFHon85wu0iBltqeMOtk0opQmg2HHf+drHoo0pw8bg2ChEmTzcfUpHwem2it4
A64j/VbbAGyy4ZwQeN+tiA3y1u68tQ0bpr83lkQAjFOCgfwFD6uZcYAApDWv+AUp9umhoiyHcbY2
BgEiFe/MQqf6iYZPJtpUEhvQEEiDRaO9UQqBjWcvfjCgrwUMUKMcGe21mmdWFkVaTE8MN+fP3ZAZ
+AfnNKEbywKc36BqGgeramEg/WjgwqFpmA/j3ualCXx4iFtglgIBOWZBn6qL/DhgdMVw7uDsuftR
X9Go/X5yFkU/0vwxZuP9spqURqn9zNoxmxs+WEsyQbviCeY9M4Lm7K65Sw6hq3lLexKjl+j3xUD2
5FF30RVOi1nM8kYsYl98Zutyb5X0UkXtXPPWbbvRhbHotdiITzj7l9/Lw2buT3wu7BfUDDV8C9mD
S6AUhfKnwCsnLp2uSsv8oQEQhLVYsir4pxhK00WT3fWaiUhDj1Sm8nODIJM3tZLhrslV2WOmJaxt
ROu0S/78O1t3vhE3EKyE+zpZNDW1eIZ3Jpabuz6MnZLzAo/2p7nBKYfjr1gfDbGo41XKMre4QgEt
iyeXpwXlS6p223tp/wryEU2V/H2un6n+8eQVTE+cHevg9FiASQMjqnJYd4P7+qWsSut+kSPmpx4+
b/ky23U6HjEV199hiOz3kLxn8MA+wDWinMwWhSR27b0oalIf6rlLMVmZ3ObWYc4ec7KBVzg3Cyu0
9EEHblBZJo+jTPeeh0KZ0qjSGy6TTUkM72Q2rdZ/q7khr2dX45SKyINwjhQWNsQDxsQp4iEz91fa
IHWbMUslGNZlBlqwM/TFR7b/3jtlZZl+3jwxaF8JfyGx1prmTGRLdF5qqbU9MjST6T11/CxzoGBr
gNU1TeJmWR0sd8wzfNcZj2bN6P+4zXsUENf2uMVdVbbtTWMv5rUisLVFWd/U01UKbCoLXGuss3es
ROjlIeXJKNHJx8kvMwQ/35snt+cpsPZPFTb4/IPWbobLvIYV2Pq+EyQOeDFiMlEG6is9K0k3f85S
VZkA/Ix2ecrJRD8so5Js8SCxOUQ50g7OSV0Uxv2Cjoqwb3e7nb2bVGYFWkZOj9KgeYxmBo5MHlwa
zvDdOtSQuONIZfViLEM4VcRWYqraOPtLc0mdcE2w6gVJh3n8BYOR9q7IBs41nnTeM+d6Pd43XgPX
WeqdB+KkzogBLPIVhtXsan5ZTs57un9ow5pJAJsEkipIezRZ02q0ppzRUZcb/JpsHNblOjdE2V47
Q5cZ92Q3KvsEUA5XJpqskt6Ug7I3+oyYYOkHq6W4qaqEzz8AjTmMmVtmhENVlYGNyXW/2oR84Xhm
zs2PVen/KSlvKClAO3cmw/8spRzY3+Rff9FR/v13/stuoP6Ll1AtOA88y//xFPxbSMGJwCbVRqxh
TwKVgOLW/7IbGNq/VFXzYCDyAeD5GWxl/y2koL5YOjsYRhVs4Bnn/kd1rxebDfL2lFQYpgblhX8E
//HrZiPl5NncrpVHnYyQYPjnsVwiVetdm5Lxpk/8o7kubVhmoZe92TpzsSHjUYha4tJdQQWshdC0
f7qftjq47zfC1IuIZ6lPkbPS0aPRAx2uRNWPP/0sf9Bo/vhW3l6gC+GXQ3fxVoNRTJpWWyI2tYGg
uK4x0BmzLmKX24f/+VtxKD3DZsNssyL99VttGhyV1TQFcfQlZ8G99eEgiHSKxXkLW77vWH9SPH4c
QHigqqkanBTgZn99K9QlWVYWB9DLE2SmVecpLO3vy2SHaZMUAeYC6BUJLVIIBu1bRM4/vvmOZuYs
Zkl98T0F7XqJ0QmBw8m0/d39ETVYxv+zogi+oqVzXuKvIeGMv+riXcbUNcapT2Q8AO4CgaPTIkiY
pXemqOhqNqh///EuNKQfb4duqVLaTP2EfWkms6j/MTJNyBiyEfPecvgGteU7jUS1DzjlysY9/oYs
cSHF/XhHeKS6tfcmaOplE0aSlcXsGoS/C9WyAgBkFT+W10Z//177Yfr1TAGYw54Wfx3GImo+fj1T
TJmQLe5LGRv5BMJZUa4Bfd6tmk7AXq2tN77Tn47iz+928aOhHJOuhsMbu8SYsA5hQJ5oBOuKvfvF
84Q/lOXnv3/BC9qy9eM47vULloFyyQl5cStbM2YZM26AWMtsKsFas3pOSWufiMC4lAOnZSj7R2da
3aCvzPGrLRgnkwo6ynRo40l6UyQXffaH2em+LIuhnFab6bueiP5phy8QeUqZl/bbGzcm7Q+/P6ZF
R9WojXD03844d0xpJMQeGuczDlffVObS8ZfFmiIi/Dt9i6g8zIs5NDh6kV4t5kcV5/49AYPu1kEJ
D9Iu9e5Yi6ZvXAvWHz8a9+f9Cod6eimoFh4YerbIAvUpwy6eWSGyLVk71xYRjNDxPXBAUqEYq7Ae
VFtzBm0yXLPlnkrMHoLeTjJkyO5MRrE1+wb7vzBpXCoc9HS9SqU+3Or2ppy2cgZUj+8+xBsLYZcU
+LNk8/csyB0GHvvIYDAV5wCPGfeEMbgRZc9nUQ6w4JVKBnjgGBJXkNHN8j2LsPEWU5TBmHKj6M+Q
JAMUcdcywDv2uYMzxcRcvdCqdq2S1nlRhn6Ki6ZUdvba93I1HgXGWabFaXmkeUfc8crN4e9n6+8X
iMsZazBbMXkGO5ctLYSjLGnN+48+ZrdKyTQyd9WTli/v5JZ0kZRgNP4X78jOgoiiRZLhsoTIG5aJ
pGAp4iFJyEuYUaWlX7zGvB4MdBJ2AB/+/n6/P3Bdy+FuA2ljJ05dThjGlEEkv42Ii5Xkqz5R8JcS
/IhcfXiLRv77aerSNWPrKpqpik6y//8/LSNSXBLFzFAiBm1rXeFN0U7tLJ03DuAf34XCLZYpaAYc
w1/fBWiWUgtAfbGCy5sCVMdTjugU7v3fj9vlaIv7GN/G1dDaURsdnn6/vg+FkJuGnIFUt2htiARW
HOylZkYzAlk2kxEGsMGJr1Iffh7cF7aUcWuW+Vu3pV1m/vWBwdDPsCHJwCdjHHgxIer7lhj/5MCR
WSonopO1OiDqiIM5C7yGhrmZJ60hzDyo7beqnZ1HCsLmOLXU6YZ2EeOMePgmUP+Pn4kxA5Y0kgy/
lcunpqKQDDHGmMxFc1IHK/JUyQa+Ef1tMnY0Z4MbeK1QNQKIfeud3A3s9AAB8nKbFm2r+gZycrot
3SXctvmjRKoN+lx0Tyu4Xr8TuXW0YKWemxUqgSreWlzof/wClIkAe6NkhkDQr78t/A6vXt2Zg4of
Ar9md5Czmb7PuIsF2HuLMBk1FfOCLXhiDfUZjeyTmzvvIA96J9lhG8MvMkVIKd5DuzntO9fcvm1W
AjffzbwD0sMazmWh8KwQFYBiEkpvnJ0XM6AfZycblv/+Bhdn5ywIEKbtOsarUqTnZPMasi70PNOh
HIocm6AhiZkXhXoy2nUKxo6Y2t8/gvHng+iqu1Vb15zLy91duZcw/Bj3GDcGR0n96meWVfeOOWK1
89SvbTUtLw4lLV8Ywwk5pQE4GMwVu29ySseDro5tONioMHA1Zqw1uuyCjDeMFwtnGJ2/2re10TRu
lc4TRpLIArwf2or3QuoS3sdkqdeKpVXHrW0/OZP6ZK+8EcgBpDA0duuNY/770o3Yn0rBBSuEvSXn
4pBbugsHteCG0BfVS5PAliiqUNnImbebZbyxTvzDbdtmyc3Ok2YD1ooXO4oRnFMzcNOJu7T57jHD
5Kk9Fbu1zXvjnfZXurjB8E77BNqE7K9eLuyJ5EnScRZn0pC+I96evgDeh99EWT0t12uJkqPainum
leStbrY/PH1t1YSdaeAd+B2fJ9K8J5wPI0s66ysD1N3stiPtv1eO+MyW1w7/fsr+WHv+9l0t+tg0
gjUgJy9+QqLG45LnnLJsw5tHabDuWRMjXJtsCmi8+IZw+I4mbRz8a8fixnQpeR3TIVRZrfz9o/zx
ZKLHiCeLgVvh8rGcS8yXYEDGmDpzEaodPjSTyQ/o3DYNrKz4/ve3+8ND02b0wc+ssfdmk//rDc8G
bZbiM+VHXoclTqlsCjYo3G/sEf94fDWUDM4kDq/pXqwAilFLWyhdY8weGUr4tBA+bsgp2YmrnGaG
eEGKUE3Wqq+iOUlrsnZaxbhIudoITL5xvf6+KWc6z66QTTl2F+vyep1XaW20KPJhJohijIxR6obt
Zp3wz6U1cf9urJs4c4ROtybm2b8fce1PVzCrIQ4263YcPBfnmoC+oRuNOsQUP2SfO2dQLEJ6qbgb
c81i4Gq3MJsIcxCzUNa9EX2y+8oK1aIj61D3TlYGMwz+mykzsFbqQkgtANg2fv375/zDx4SSD2iW
S591zmW3U6bgfycp0cf2kgwHaaJsm2PvRXue5Y1D8oe3Qhs2sU44yHDYk349CfMCP2WP1B+LLam/
06zpPGxNho9UsdX/xddiDQpJ194ltd/ual3TbQLXcR9bej48gKyyD+3qJFe0CKAi/rfQeP/P3eNn
19EfbmK8E7IIS0TMDJdKBQ7DtGgl75Qbahomoume6hRmIE83JvBLbeJVBMj29zf946Fkf03hEpVL
v/Fj01SFvZVZfcyUZgpqa5n9vKj1cFBxG//9rUjP/f6EYKWheh4hKAqULlfcLswImW4ap4g5qLRv
rSuYuTwz542yk6SpAnsY9dBmTV6Rf51m5cDOUS7Rxvyufqhdi4sLg/jmnZJxrZ71bmJqA+PCBQJX
AUEhO9Vnn+iiVW5K8MjjIc2qtPBHmiCwPfKVjMCxW2bX3mTNOOmx/6xXlpJ5cc7kaIswqoDzSMtM
e2dLnRluZRJqOVDQQVbIgDyhf/CguNQ4PBFLUh/Ui51dLRk0tD0qPGTvx6rV1lNFvB8KWq7VoKbV
TjvXG+J/PMpyGm+tupHujQksInnAzFs1B/5dmZkzgTNbfGni1g4b5nDpjetgjw4ltBkA9VZfPU1Q
nJLz0CjtkbogTGlrOujwV7L8uSagD0pB4mY5wddOu8CVcO4PFNKvaVSDAxyui4ntJDgnjxxAPI54
g0PmQetC6pzp+hU+0URFd6g7Mho1zmV/yinE+uQwxFnxK4sl2Fxg9k+dxUAzZg5WrPdz4kxPQJsG
EUHd8pxHmoNcoEHrlMoTi9jl0LuLlx9MYtJwAPccTwDOz4ubgUdUVCW7/AfQ06NzcbTc9wR/q2Cp
alJUI3wrDUhvZx1rVz6g8x4kFp0XEDvVB3IE6qOgBsJP6mI5KmtRRUbv3clqpRp5PCyZ0zwCOPQn
WmAiHHx5rJvlDNK3rA+pnM7GtM6B3o2fihLsPLm4JJTFYhwYMH81DWWOJgZtfIbBiW2IRBGmfTvG
udv6rJg3eHBeejWa3fLZEUyGsGgUVMdPn7beto4TWQNwKCv9m9UzxsvIBjF/b3n1EAGcy+9x8m6B
VHPtyq2r7AabSAUPD/cOFvrnhfhEbCnaQ57jdGOqm5wSzyxJ7pSSRcXoBHTO4tIbne2B/PGpF6bw
842cd76Vd3BgmLObw7lcFniragnAThCgKcD44KUs4dcaWZjzy94nrvnI6HaJtNnNDts2bMGqCBkm
OoisjaXrIwCx7mPjjup1kzluuIreJvwkhu+20jeBIjB5uQjWsdO21mmomHI5dDOcaBnRT+MK0xyR
4qzjdsR0rR1Ka/1QMyT+0OTJ0bHMp1yuHxjUN9GsAkAYZPKhBj40cAXW7mmSTnOYFOib+EXelZ5L
DDExQM2mrRupBU5tuijwyhQe+Qv2DY80m0z3fTpAO5ALz0VjvAYY5PjVgrdgVWBm9nN3dA2RH8mr
4cOp3em7OcJFgFcKpygsp1xsKz6qniQgW3NdHXAAtFjT35UtTSO+zsnzUuuqsYROzz6Chyk3iSKV
82vHsb+lXCtHHkka3y21kyppRlNa0ULb2Nwr/qGNFi6IKCEmuY7X7jqn8/gKlsgZCUqRwZvLcMP4
9apoxkEtUjwxClPsLnYUvf2yOFvZHY2y0mVI4gXsztri3b1WCAEVfum4IBOqdbKUM/Ksip+87TEh
DBwpX5RNFW5uPb3LUPXv9arQ3yV1U+anmU6iyML9c6vNunto82kmyd8jxmWkBoHNJqwn0Xe7yNnU
6qrjIftF0FBok4iCdVLMVm5cL1RNPplTmXz3EPdlwCqAiWaXTGq4re7ynjlT/X3oBpugQT1qH7Fj
DHA5OuvOa/Ruh0DMIXaINRasWN65q1m8TiOvsyoVXgah9+dt7wDMl8Y84WUcX1DhGIMUI/EmDHSc
CZnh9R8oe+q/QKIsD+Wi9B+IsOVHeJKCZkkMEgfSeeOL1WIXwWU1z6GdWLUI5TZycZBMtRiIm2WY
2qRnCxZcJ2wRJbTDRY/YlXrDoWTfVON+xx9JVUc6PffJvBtxrFyjoCydkxxCHICdoGY0eOoA7u7n
oDKfU6rLnoiXEWJzGPIfILR3yjP2Db6is/uMr1J946Pa5fQ86Yucb+htSu9yt3dDaoS3m1YAXDQz
k1c1ujw21dx+moRubT4rkf5sd1l2x1S8+4h0p0cIZ9ZdOnCpQhuut8Mml/JAMxosB/zO6V1VdRN1
Q1Zm3XER9VxU/LqI8P25rD2I+VnWfR6mdIDwM2jvxpzjnRflCoaoWWOXAp4j2b8VSohOqNQa9iZ5
dphwwzaSkWVf5DFHNj9aS83LKth0tcHsz51WeNfbNHYEw7rhw5RxXDfH6b+0WgqWa6NnlUE/yLwz
rLYV050Yv3q0qNyZW6/M/tR66d2S7yhZzBv1+hUnk+kCltFnA/6uMcP/vNZ4LHchNMM0UDK6qEBz
ZEXDHUomI0FOVXvXaat1RyF58r6zs/TWtmT70U7tMhRQceDh4ZDU/MllEUn+S49S4fbkE9UkTLGN
XQ01X54s+vKecBr3xTTJj0bH3+5UJb2TXm8TD3Rp8PIbcud3ptFXJxpXcRoIDxEnzMs5OWe14D+g
9Mj1ASZXIiy2jpDdxnWOjNWML+uKaA1UYfzqpKYVJMlanbRB7Ge5zIA4ddibnkDz/j/2zmQ5biTd
0i/USHPMQFvbXSDmicFRpLiBkSKFGXCMDuDp+wOVWZ2Zt+uW1b4WuVBKjAhGBBz/cM53hm9W1fVA
kSteZG6L7J64FvlmprHzoPkzTnJZqvhKYEypB61VNi95PY+3ntP234Qcs/tk+biNJvTOdqoTIGAN
PFGmTVvfdRfNk1bFVwua5qOXxtOtIG/2p5irZKeN6IYChvbhPUIn61CLuDw7puIRqzm7p2Qfn3zB
RmZWCLqOc8NIfKPBEv7pkvMMPamPsTcyb2nBJ2NJLXE1V6jeSNUtNBToTnhvxbRcgezbejoUwwAS
M+75Js0afso1AyS+aZxZ8TXP0koHyD1XtxrAPBBkU85nLVovhjJrVl65Aqf9s/I0eqZBFNCDClX/
1KpU/2ZFCDEG1eqfzpCiwuXSq+84LeaflZFK4s+McspWDU7AT4QgMxZZ1C97TUreFoc7ebsTKsND
Q/Ks/jgbuXbvd4LTzHWGz1F69R2xdwz+a0PedFjMvwNkq+/0zouuxBIQGur3HnJOD4FlGy9CEo/r
G+xn91wnSSnuGixwnPFVVtiHCq3cTypq90JPHG5lHzYcYiSvMjftTFIDQ9N7nVuvuwkLGe0GaPB7
yyn4aLhtns3GyjCMulFy61it3KI6b58aOaDtmuOfXVTxv1o8uetwkOa77UdQTiRKNWmhwDNM0KD2
YDo7nfcrYKNprbOu4TpEyjrdkyY33lKEgC+y0vCbkUfWKteqB7hTF+zECbtIkdDLgJxUCGlJHvGO
MFrIwitkw9NmzlUolGioLDk3zJn1uki0y+gADCwnO3zAU18d/DHpIw7dYg70kmVjrdviYCfdcZgm
LPZcmxcRqeZcRm55jOISsrpBbvLos/5jhPrm24gcCYMc77NqMD+gdR3rROgcaXgyZrOtN6Wjy9XY
WadxTK1n6m24PVjM30meY89UdTC7NeNQh5XLtiymIB3wyj57GN3vRRmrrTvKvVPl9dpXGpqkpK72
QLDemP8V36GDgjpzK94kQ4Mynjp0OCt3miwQB1nWHjJNwFMNNQwjhSW3LYq7U6z3kJ0mpW4tL4Oc
lqbtQ19rDkedH933LU/S26F72yPMChhMTwDHQusNsaXzDbltvk8S99uYimLHuBQPnaCUw5I8gSJO
VHxJPAY3lW4cQnPW32MRqi02OrEjX5JczKQ312rgYmxl3IHFY1QYTQArKC6s59SyQRaN1ZbLiQO4
SulOI6f2ccv5/k9wj8bzKC39xi/8GdVCYT1C7EtXmPqtrc3ZdSrCFju87bp3E3m2W3vAxbN1qQuD
pmvwmoyj/JxZNWEojLrkpk75GiQlUWc4O0uo31JOcWAVkHVHCZmABULgz+CWetehoLcicNnTmB0j
Ve67jPyAwLa0czWl490sjOcOKfCWSxGMzpxSqNkYWIi+vCksO3xCDEeZgVk14whMA+l1yb0nmnkN
d9M7tVOysN/iTWznWZCZjX0tpI0RPFa+ztIinw/TVA0Xx9a47RSelnHBOeVRRiPcXCyTVYB+dtFU
YnJNA6IbuIzYoQ0XmE7pS2FYzs7WGcAzWgOGX8+SkUafaOOtjwf5PDHMpqtzB1ifUBuyo68ScW+7
1rFJ3XEfDh1WyDa75HzKp7ZETd5aVc5yVHWw8tvuzNyX2NA23ZNA6b/47Ezpc96aqlzE0vZMZA7Q
VpwcsRcgHdRfkKc2h8pw3/XZ+Qybqn6lYs1fc7haHFqt9kS4nrY1hz7adG5f3JGd661z+Fssvf1u
Jh0VaT3l0LhHETskRzD3yloPrmjdvZvpSG5hlVRXDXpyFJSTW10Z31SEy3lpRA4WmWQz31E7JaUs
Le+M2ivunIQ5MjxRDlBiI7uPvDXEe9mm8Qe0MMiYhsYD1qgAjnaTVg+TZXjqpaHi4XMj0HGLtA+W
6aA55iGXHncUn8Ay7pbMzuZcRxUZMZA8VNAQHqmP6UwzLPvHKBvbjyLDJQW+gyFCO/XFz8wqmSq0
cxe+ijbV34lq4U5fWahwW9z2r0YGy3RFELcGwHcO2w/NlsAwjHnw3c2c2fiq65GDoY1HVW3diPTr
reUrJhr9GPP1iAlXG4OqRIcfOz1KbB+I7aut2/yML8e8IfXRB21olYKvUWkCKF0PLa8SbSlyqXWJ
SsuliRl50jSxyvaUzHZH3yjKQY9XSqok2lK88sgzuNDqYCnGj2sIBZO2A01FCdCxIcX4Nhb+OY2F
ReRcU1C05qHDp6QRH+YQ1NGHr0MzgK6KemhmAYLw4qfRA/8M+trEXaaAmL3+ejPtQYug57GeTFZk
D6NMc3VSywP6iWoHQidakTvSZitmQbz1+B3KBxv9WLnLk5RxD8oCvP0gTbO91JkCXY3aBohAJoJ9
mgC9PdgKRQUfIfvWlQprfr/MtZmHNFJk6alFxTDsignhx8UfuuHn4DAbDXoD18/F0XQwc9Ng7Moe
lX6BW+suc33M7ZA5xSOC03Yi7drC4GD1/NJ7YxC8RqpyXnVShnx44ANKjf0fCVu4SRKuXWb/8bRm
LsO7OADO6jgkjPYjoXshHUxREU/t0H4mGEDynd83CMN7f7GsCyAg4yoXXD+B4uOc9yXzv6PCaUd2
WNVR0dmxJdODcBqGKDDY85TDJYHyxzVFw81NmPvXqugXhGYJoBTfz4wn8BoPgF3rpYTM3dKAi4g2
8ElPCXit80oc2Uk3ewgH5l2B3fuMlin5BrpaPSlQLL/G6v/RoP4LDSriG7Ym/5gM/zfkFW6pqnn7
qP7s5f31M394eYXxmwBB5zNhxbaH4PL/eXmF/xtrVBBPQLKQoLmMxv8gXiFB1dEUYrT12f4TFvYP
CepCvKI19HHfMuSmQPf/HS/v34FXaD89z8Xt5no8neX/PcxqIamgrcAjAhCyTv0tehJv6l+awacL
OVKTuKBLqEy9ON25bYcj/2yiwieRh47EdlEDgl+S0XFBk2bmpdTwabKDBnMasdQgD4aOYtdnaTeG
u8yjKUzOdqQGrO2wCdKwhyTCIWs9CXtgQhRxMLGxirn9FcAlyV4ASkSfBlJEGxwQEUf2apxqzOS4
cy7iykF8N0oGBytoxo2cHsAusD/feFak3DsGOH3sX5Ok2yiq3GW/6ZGftMKlsoBh+mbWmJVOGhLN
iGmD97u68D9Xzb+4aqCJL9/Yf37ZPH6WjPDaz88/Xze//9Qf2m39N4e6kkvD+hJn/4GJE7+ZaGJo
mHBgmIuA+R8XDVcGXkZulwz70HLqy77zd922af2GagWFEqIoG/kKO8r/+j8/xv8dfVa/L3vav/35
z8sfgJV/XY4gnEZWhUQcQQDxzHz7/7rUcuEgabGyywMcmVaXO9onDEkQnBXW264gdjAAZWeoc2dM
8KFojdd6O5o7Ur7dfV1YDBXssCWTFRXSTQsi5nHMRLZBLVOuo8hBxaAac1NEzvhSjGQYrCduxG9+
VOoHQ4p81fu2oreJAESH7geI/O5AeR7t7KREq0TI4koPoYHNM1raaRD4U5AcVAEVFDV8DB01Lz1q
s3SqXixZe2/AGosDRKJ5y7xq25MqsBZAG1cD4P2rzthhX2JUfDTwurCybK0uguLqVC90PvXOGLT5
2A450OnIcJz30CORKWCkBFKqaKLoUjUAPjkCvDNuTHHfq8ZYl7l7N/S6fxEpUWBeEUWveUxYkA9a
fT+7PeOppA7xxrJLbdyw3KsEoVxjTneVrNxDUxolvsRs4hgZ9Gvp+seozNZ2NWa3mhdqbECMLNAn
RbzwQmTus9p+aITJ+Lq2BBx5y4KnN7aHvp014ltm/WhlsXbMW+YAmVHPq1hL53VL+tOldmICI0jt
0ojrUP2jnkhrY9AUnaOwsHeW1Ist0VU2j9rOd3JhmbmJFgZ0V4+Ix8YfU9Y7m1alUFHdrL2bEZRg
vXXyrYOScq3Jcbq3ktR978MRLsv0Cjm43enSTPf0g8bONPzw2+ABy0vT0PnwiEqYLv1kpBfKNwL4
PAn6bxy7YsOCYlgnsQe4FurotnZgKk/caBh82gZYqw5mP2izd6D86mekJn87i3JEk8uAecN1Y5H2
q9r8PKXyKcZ890SpOb1pEEDNoJxtcSFIdTjRe7I8LwQfcuKj4peRB+zICKlH5wzJiHDKK/PX6pIr
/SmGS9yBL7PqPTuu7G6saigypTlcjaLxT1YNdC+QuUVzmOha4e57rU+mLes1HEE+mtwMzcKojk4y
b9PSIH98HhsTqrr0MIcDrGJYaBRLujh20JmyNDCsXpQrJu84JlkVGOu0xlbU6kWCv24ubhkv7X27
hjhG8vKlcYw3ZgFueK5JXYhPUs+fnaRx74vK3oVwILQDkHtc0Dv8wCni4MFXpf9jJhY52UThNF/n
YWxv297wChSdZjifrRJfsdf1T7YczdsG2k3Tb+A2P6IfTDd+0+sbsGX+UVWusWCk2nxay9iR95Ly
P1WrhHXcXlpu1jwZrK+AHjEwLEE0gjas3GPJ5q3V1gX9ubhyUPK+F4QBbUMnLVkQVFEovs9xrUgt
lFp0U09u4T4LNJw1fmgMVXcIB/vwg7YaIGIy+wEnXBDrlmZtRF898M21s8AjAV5hQ7Z0dllDTtMi
AH+9u5Cntb1XDtgJ7SpXWlAxsaWX6b+QGvC1rIuiMvhWkEnxlqE84JsiJj0iDbwTQNRrNd6WnWt9
TBbWq50RjoPcu1PtlutBS9gr4koO/U1pk+dGlxc1ZM+MjDVZJANMJF2DZgueUgL21qIR7bKQm7rh
Y30jGThJGc2woaiuLliGylmRCx+b3Rf5QqyratCIsBoB+DIEda74NMYt2D7+KHJUVo3Ne7xyGE4/
5sozTg0u0YYCnqgdYvp8tUtxm1xYBTCeSlgZs24O13aWW93K6E131+tGvGOr6O0qKPy3pZFju4eC
CprZrs5jbMenUAIdJ5GcLOLc8lwuKvy+9bqHLR90qWMcPbdhmwjMims15fyKnGRDFp+pbQVG6Aeg
VenGMdqZiBBFvKOjleWNG/fVvTe4zk3n1MN3m4UIfC/TPwHTMzFnN/qaLIlo1zXdDKJ87nMRFIDX
f9RT/c49qrmh6XG2yg0Z6A4JwQKGqMUDu/8Qg2jqPdlkO99ZlhZycyjzQx657ZU1h7Zd+pbjUIrw
B3AmG8afvm5djI0cneGeIYJ4yVw9WbeF730ntJ7msYO6uU/tejwxZpsv6GeYrNcjU3mw5K+xYepH
u64I54rGLZZ6duSdmNNVhysEmzsO9A0bu/kWZVNKToW/a0HFPyHFBEbnDP2OgK15Z1M61kFKTB19
KwZGlTMEhkdBoBA2X++UEGSw8amG1xL1daB4/oeRWjYwFuVBhNL+FtiWWg2QDjZsLKMd9lJvmX8O
eaArK+ZonK0X06wb7oUgq94GuH0X3Z31z6E3QJpiC9hkIED3Tlubz8sgbGP4JHBIvY22zJHIGYEX
eJMJVX8DaFlfeoZptzbjpDOSbqIM4jIleAn/Um3GCGYr5j22kTv7fB5ewZwlZ8aR8TNQWHFD4BVy
/bR1qASKmXAQrxLE75jiph1ZX6wSrvxbm5nTDttG84ZKYVVj6Fyz9O7umpbND+M5zzkUfuvfLZHy
Jz3NqnfVRjDMoCtssqkSh1hEz2FTOiu9LATFg4t8SZsW/y3YQYLNtJexDMXGYopyocQXJ1NrE6rt
JqrXo2bK9WIITYNR7540o++8dd9GbRtYOGJhqwO1HUbHX9WI2ODJk+O0cBk65v/egmojokSPeDTA
FphWuahJUFoz9rHfjJFl22jFOHgZAXISNA0eOq4qZ4rdB7NJvYhbXlSAH3xsnUkmd19F63/q+39R
3y+snf+xvr/5HN7+asz8/Uf+6IohXCHQY5r0i2IlKNX/QbhC9fxHG0zvLFwTxjiQKVzSOmq/Pyp6
m79CgyzYzhmI9pGw/a2C/58qenrrv1b0AtHg8jSGb+LFNP6bVjLuAK2TwGBeXET+3yZlwWE1da0J
7Blc/xQXFOGjrI50BbUO3LUeNmKOcDc7Xr7rjbY+2+BWjBebGuiGbCjwfPXIgYVqpR7tdc8a9hsU
2+Gly4pm3UUT60fSzcaVPxDih/o9BTDoxOWwI6FBR6XaVt/LIRyucwNBBeZ7qXp4fiif6HobtU0K
iwDqJi1W3HqHPnDl1O0cJqRVION0pKGNKitFdGmOt9D3XWcbk5cQ7X1Ln/v1grp/T/u8xVo1ZdlH
7Wr1NYk4Oqlwi/EKwxg8D/lM/O4FGSYEVpGA5x6qqbHYUuv9KHfQD/hbE8iucey9aLqtkaZNh4hU
VJLEi2mkzuMFVicrnBkwVjWAzTsDv+udj8j7fk6z4VrnC3nCZbNKzLEXrcK2wg2kGndPbGJZr1Kr
Ih2KeKxxqaPQWmlWM3byAtvxqZMSMBA75FBAt9yHup30OxKzI+7Fnl1i0XabRMwCxCJhweR8ld54
Y7ozK9ZVNw3awWr1qieWLqpjZ5UibC0hlpGIgZLhuaUkbc37IYNM2zDYYZIB6XsYb7JfsJPii3wi
q6gptvKLiALc2wSPgkINVkoIN2wLGHZBqNjtF1ClhmXSnVss9bRJv7AromUVDr0GIum6ttph+eJg
k5rHlORYbUzJf8wKR+XDsfsFgNF/58E0bYv2owDparATfYl+wWPGXyiZ7hdYxv6FmfnPgVd2STf9
iwMP/arOifHPBxqHj7f4L0PA33/iH+cdAz2s3pi9gaQRV/CnKaDu/maYzDTwh6LH5Vj94/BjOiiE
L8Bj0J5ZX6z83w8/S2cGyHCQzahtLww58985/OAA/u3wWx4BZRu+dub0sMX+ZjeiVql7uJfODYNq
7RCF5VifyNaZkNNAZWEbvZBJMhOLIcnx+cOcSNt/xzb8GWOCeKBTofklEv0RcNn4nLlacmKCMzKw
Ngg8QdrgLLjcufXBjZvz1N2zL6S8iCOl6idR1rTrFMK5WZwyn853GPI0vXHxwRM7VOfeFk1CeSjC
CUVo2oMXpZ9Yl0VugYTySGhO8NFuUr+/yyTUjSAVKjznppRnmrJuR2FYH0nNVh8gaF6tovM+LL8V
cGQqdydkIl+bIhMryy4cVAjtG1UDmTRov9AIulybp3mKx70gonfLB6XdgLUO0TUQpBEz5mnCVeMb
0UC8juz1YtjaLdFigZGo9KrFsfEMy29x88s19kK5apNY3E94ye67vqbl6cRzbif+0wj09TqWTIik
4T+Po+dsBkEivTkUd1aq1Xurb4ybhpzbQ08Ey4q03ORcDIQvEUGaXAj2fvO7GiYZEuiNjczlVBOA
scsrbXhvMzc8TET3bbNSB3PMybWZU0//XEzYpOzAHd/7RvLZ4wjdsKYcX2zdI9eLdopbALAn6rDc
ezWMHi+OyxBj9KrnIimea42nLmvSjkWsBqwcxPSRLUfYVpaAkpOw7gOX7F/ihorB1gMz8YsHdx5x
mLCYlYflG/lUD62zZcFN6Q0PmFua0ddJELsuDv6KXOdSGwYShRE10CSjXehJEtKjewu48S2hMvM1
VLFYxTPW99g0ADclYrR5FrPaII2xdsQ5oIcFlJY8KADNZxt17TmeHPOCSxNzH1TVW9WQNl22LamF
npWXAeOObtVnmvzpo37tg0hZ+q5wU3VuZmREo12iVgw91KWjo6IP4m+xvEmEBnjXiQ+ceumedOmz
QiYETgDxmUTgND7VOWMrZhO1wxiDoUn/zRwn2mxWbwaStayekGCAwTWieCBM1EDmphUMnarC8E9D
AcE96KSFKmeoq2brK/glNS/KrR15pKFrnyKyDIpggLr4s+rnauN5ub93k8w5N7b24TDBCUxCEKHL
hRHqhEZjWgmVGlYyYrWtmwr/GYN6FkDhP8kQ7SvssHib4yt8Hxw935Lv7fwgR3Q+zmMx0CwPsbNT
DXqdRu/UC/BA81bLQoaHrhduiWLyI7IJ1HSqlEab7HlhdfTgj0mg9rB4J3Tbt2hLq828JLU5DlY2
SHvIUWkr7ok8sHdervpvyN8qBLYlgvo0zJjt+VFy0iQ6CpvOrADiya8ELxBvswHxEAufQqXWDBPZ
E0OKfzqcNgnNw9Mw1iM80FrfxrZgXOVPfCSdFV5isoJvHade66HXPCaAme59s983pTlfVQ/NvRpJ
9+25rInfNMYD8GyFaMSpbtHfE92umO4GlAHTAyMKeSnawXg0oCa/olyp1xrhVwFTT3WgtYnDQ0m2
3cOY1sbKr9qVOUpxKVxtI8pK3UVW3Szzt5QJlkcTB9p6VdklwOQiMTkUan8dmUoc5lr/0JXt3Eir
Lg/4AYwDSZFOkOhtsaLjZPrJh7xraGfXYSIfNQpEJOiG2T3Mfjx9Mr6Tq1lzp/2UFtYdIxjmY41O
VAg+byjwiZ3tEFTKdRJykAtj7k5J3I9PZS6sbS3LaOV4g3MRrFGDquIg8rFurkM2Rd+Jd4r3E7L1
lQZRbtNY3aStU2Bd37kJzojyfIDDaa0Fo4rNFUb//mcaEsdp2Ul139aOjpqpCAhTEW/RXBDPpOf5
2oCQBNCg1ZoV2d/xd2OOunNT5PdtVfXH2HfKldk08oSqqbudS7vaqtGbb4We+NeWeUwddH04bywC
5XaFVUGWNEdvDY9xWPeEFH3CVhw2yh1/EHqM9pozMw/CTMWrBoXIOdasOqikrZ4l+viVpcv5HuCB
v+7MyvmOp4prw3Qk6mcPXV6SjZcy7jUOrAhRk51Yr1kOGdpz6+RGD8tyN4tKf1NFZK3Hbn4KCQVd
GWoy9vbgyAKFPUm9SaKPiBVnj9Y8v5+FfljcPIzkTJ2IOTHxAZeG7a/dZLhTMouYM9hYq/qClBqn
jG9Tivsy0OpIfRNIfo4+sOdj5MXyK4vN33NuohnqxLkFHHjPWOi2jxLkWjnSYSaWBJvy3XtMSYJe
NMoBl0SyK30d9eAcxQff0+6ziYyQUTWVR0BHGK1wDXjU6k6/XSbNG1TBxUp44Zk9f7YjlLI/hIyT
GCSjMlMSxRsXVLztC2SKUUeOqDHm6N+9sDhHdsPxrUL1FidC7jSQUqd5aN0fupvn700rtRu7be5a
s7AfcDk8icmCOuCH9Vkpk+VAR2i2R4Dxprbd4YnhYH9E3PWWzml3iFMsYXWWLNiJKdv35OeQFUNs
45HwSFLcksi6hydb3c6Lphgdtj3gqL1DUWd8R/+ozuh74HCbejg860miLUMZ+1zIJD2SJbmFg1yv
cP5dMSp8GzVlBYKp/CZhMhy40ZA/+l4kd4xA6iuKJX01thL9eB1+elnEERjF8c5rfZQEcZvvW7gO
59iy1ElC9n0ZfAI93Hao1nJGvsZief6J0+QxLkoiwbPUfciYimw7PetWvD70Q6l5YcpZbmSsv4Yt
stSistAfy4qMIW1CujeemdpZT3mdlccame7G0pphB2jC3yZjFr425Kkx6Uya11ErnQB6m7+pBmM4
kFPcb4k8eFU654ovCn3LWhfeRFRs8j5+03oCa5oJhoZLGMXR91m0ZlFOzuEJNrMFG7gqmPPlGB8x
/yLLEm7+lGpO+UBRlZ3K2uNWb+tYAhKVeem1qjp9BxVC3iBb3BaOKXfeKBriIpC6lKOt7cjqLbYi
NqKzi99jQ+pIv4/CNEFMinL+tmYaf4itXN+SpAetK01ZslnqlfVdSiBDY8udIp3wKpWbrjK70Y8V
YXpb21PjW++FXh7AmqRIyVrHDjIoagQ0A/5i5TSPP0pi0l8dLNeCMvetiPxwzQv5WfRFvU2L0ode
W2oNJFjhEXieaftoJq9uBcq3gANvZeVFjmQJm5nloAkv6pjgx+gDKaaBZGgmuahwUIvYvkAVmaVX
6t5Vl4h8q9DZbEUouYOSU3+cOQcIn6baZAck9qGpCdTJnh10hDiBtAT0wZo82mCLagJKDxYCeXZn
Y1Ywg5ZQ0lMYtihOSgOxCh/1K/1rtDfGMNy4ZQ81MJra7Nigq1pFsdaua0WINiyG0H2pY9EgHujd
xdgi7lzJDYkdV5TiVej0H6N08yu+Kg6EwchXZpgZ27Cc8V49eGPIDBQ9qxdXP5K+GDD4FGXuF4/u
SBSxdQxtL8lOhM361aOaBt41tF0j48fAL6mUg7TBsmHip9BJgS9R4BAjwKyCmU3EvKAL0w7f+TR+
gqSNP5TPK6RGsF/4meoVZnW4nYxBHsIpJFBEH4AToEhOjj3AvEst+ddV65AfzpVnZlOz5RkxrPk+
U/sI500CMqUKIjmWH00o9EuVjN7BQZjJFUwzd+P2zuOMSj+oG9v5sHLZhiAPZ3kCmqI29uw3901R
m0HqFM1RY9RyJ1QcI0OqpiioYtXvrZzYGE6DaU3VZ6wrixKGrr9AkZ5ke6fJ2QHntnESZYu4ULAw
SZCYbkj9Ym/kTAVJlhrPJzJZQYwZrOcWFRmZR4ks0LPpGqhokQNf5J27VxjxSEbvpu/KDq9RCtUm
ELnPfBwh63pII8LOun4Wl4mA7FXatQRgsjWD6257To+cTHpXj7twip8KdjDOYGrkViLbGIs0fYy8
HBo8pSc9UzvcTOUcPRT23G695c0OSdveaX5H92UbBWCWcFANmrpxILRBQtlL2/ohDAvRgTzln/Zs
+wjvbMr7LiKsJKr1+lsTN/qLjqD7payib2HhirNlIJ5DyyVIhTIkmvzSJ7qhH8TJ9Qv5gLmhLddh
SJbsBeGJdVfG9Zs7N4hG5TyyXtRiAasW01NCqkpkIatGUnfN8il/ToVkRZqqcIdeAHbxxApoRyvE
srvp1ceANYjcaQvrWRHJNa+o3KZNykU4sqcIGof014DWg1qnxhO/BvGj3meqPip+zW6DphoZqrkL
ZrD08+S+iZBTi3rGgoEI3ti0nqZvDBeHpcoIqYnnOT1jL08Ohem7N8g9aWAZKa4dob3nXjU/sTNb
ojEJu8kCcpeqjbCz6TnjqDD45ivWXKk7X7WpmtekHoUIjMk6BTntrc2Z71Uz413TCaY5sltPVpLK
d5UkfrUv01BHHY0NnP5zKWR1uznbJsU14vhF9DhHGzJRFGDpFsNq/VJ1yiuuOhFUJt4kh2asJhZO
4ByBqrjqY6cVCiWwM39oUynUre5r6d6JwYAl5aBNz105yvFxVlrK/VXraHi72160BLcB73ENApp8
sxnVibek8XBKfU34zF/jvv9VWEMbW5023kDFZsXr1o95Xozf/jT++f8YhPW/ERaEt6Q02GB4qMqY
7ixilD9zcZj6qjQ3dXUD6stea74RB7oBo38sgG9DAY9ejcIkNcU4mpm9Za6JMEPfeG54kf28IZN2
w6+68+cUn06y+59fHEOlP9Mffr02B7Ib7AdEMX9HSxX6ULO1M9QN4V43rqRWDPfJcPPvPwncjCV0
wsKL/fc3wEbyRdM7qJvEAKTFfw7Za6Vbbb+e5j87mH8xkkRgspAY/vlI8pK03GGa5M8Sq99/6A+J
FRNGxoiwRvA2GHxJ/tBY2b8RdfD3caT4zdF1nZkj5hVsk8uT8/i/h3AKiB747TGM/9vqKkaBf/t6
MpgxUD2SfIJNxqQT/+ul0+ANq4E7xUcGFtxc8jxyBuS7X4tt6VjDdxEV7g352NV9glf6ZlY+oEWv
EPqq9Pt0Q3KneEi7bJ6oAsfsGn8t01mWp3DFmh0dnHnslp07O2rW77Y3sign05q1PC2fu52WXf3A
gPBMFcQCv2KVL5edPkRHb4dlMN6FFD07sgmZakSFFq7bPnN2cxI3h2xRCfTthBV2bmmxzB7jfFAs
igKSMtUrE/0JKzeCsZVJagkcHaPbD2UV3lc1lX6QaIoUY/GeZTN8myz3LlRnIUnco9dt+AdAiSnp
t1k4OlcVjti3dQhwjMBC9rTU4tY+awzth0K3gIeL7tdMSw+VfNF8RqMR1qu4kPotbuV+15lmc2+1
ljoibEHiM2XkRK/M1PhMBVvk1GavKnNpkl0H9PkG/AC3MjlrP0oHz2Kgy8q4gYxckgRX05wQnplS
kO6y2BueYtl1D5hR2S/n2ty8W6EbvTRalvmr3rZoTZyIydpcYkMmQ/iQL9BrhAfEEMW2nxFttgQU
1V9ZRYalnh3DMXiTy/w9T7pu7y8JR/qSdTQvqUdkNly1ObKPWdNJcgbIRZJhTjVouy12Hw9QQYMb
IQ4EIydqiiVUCfcNIlTepZ5HW1KXjNbMT5PuMtGtCodfdMloape4JoYhGqoFIpzGOswfq9KKn7Mu
WVgdpSSYcRpxCxcOzrw1nTvVBUIGQqKQhWeHurH6S/8VItV/BUpN+hBu40Udn0e4XFdqiZ7KZ3Mp
e/xR/Uy+sqlQDpVswfOF+pzG5W3iULNZaHnOABMhMMwTQ+bGKy6y09Kz8RWDlX1FYmFqIB7LXpKy
wq/QLL+PrHfuRpYkqMR2wJmTr1VJUexnOaOMGpb8Ldx3+s1c2P4dmiYMB8R04R8eVjHBXU5j3yS5
P/wol1wv0YAJV19hX0NL7pe1JIAhNCQMLF1ywfwlIUz7CgsLv4LD/CVDrFaCOLF4SRYbvkLGGDPq
3ztyCspVVNYAAxBjvTaTYCYmlf6G0q8hLWzqpvtWubm3t8wMjnVDE7AH+g3R+ivwLOyW8DPwmibL
VZIgsDda771TQz5E0ATyxW1m0tOi0ntNXRLVqHwncRiXnDVM5JW2mr7i16yvKDa5pLJ5MflsYMj8
pyax3jXBrNJBJ0JqiTN92rIh2q39v+yd13bdOJaGn4i1SILxck5WjnbJvuGSE3MECRJ8+vkgubpt
1bQ9dd833cu2SoeHJIC9//0HkiiafRIlzRNycoJ4qpcguMZkwkFtwm9dm6Q4wM5xV7/Ex41McS6J
DyMrfBzuHBkRM9fnrOfBJntOmxS6yOTR1YbusJqMusXr8p1HdAKNHQl2Jerxcx8tznZ9CbgbTNZd
CzYIbQlHla1lsvCQyuX3kDH9I5pyWGPU0sTmeeEARdpk6a0em6lybQL24pewvXAkdy/Vosex0YTx
xSaXjwQUIvoSk9ZXvgT39c5IiN9q8vySl2g/2NjdRxWawD/PZP+RM4FXjW8SAT2TDdi+xARKp1C3
2mQHFuWaxZS0JlIQOyp1sEzOYDCTOIiT+/xBe41zRYNFIOE4m3BC4WvmKkZHdZORmwoKQ0LqLsjm
5Cxzway3jt09pKXE0KCMZ4haQ76tq5K0+SY89xiE4z/UVHekH1U7Rc9yVpRsm3gU9SgW68e08aej
HOaEcGHPURs5wPfbwCVFgDoqctXsZf2yCrXUe+WACbcAWXu7zehoKxsoAj5apaYLr+qDZtx6A3S0
P1cLSt9Jh15T2k+RLgPsfLAaccbxaZq0LG6ShSmXS4TzjUPDcGAWNdwHdWXfQ0xIb9kWlyOV/nqm
wOt8r2nue1jH95MjE3dj58g1ZyT5T8JiDI51RTOfZzot30dN4LJJwUol0bZrbm30P7dxiF+LTGsf
jKD0rmM807etWpmR+TgRbRxOu+1S6/x6cuPp0INKFozx6/q6iG0uNyhJI5WgoBtZWR1Lnfpx4wwy
uOwdLh/HaPfK95uEDgY91YMXDcFZgVz6MZ2siKmeSrKvAmL9DQLZqT6OVt9ealsn13HbdQ8r7/hZ
yhf/3BFjcjbrwQeg76fDghDgI1F6S7tFRb6eUgdzkMIjXgnWEEjeCDhX0jGB1+bOeoGbQ0iARdZu
67m47eHyb/zeFTdJW0lvo50yuZ+JAWyRmV+h0MP/oCFNkbU2tbfpGuaMLYLmkRbLgQe84iuHxemx
6AfrBgt5JfauO/t3mGRkoDAeJhRAeRbN2tLxOfaozzXBBXeMKeZjrOP4TDmTfD8kbX2rHF+dWE+I
IBpsBDeio8/kEaUwp1etMeorEKFuMfju7zC1AXWXhSAdJA4dtIq5fSpwyL2Zyjq5WsN4OWN8l2PQ
QLHexNFnG4eLz44Ubrvxpd8/5cDVHxl4lmeytbpjI7B2IqiDrYbXL+OQxm3V3zL8DQ+5KsrbJKYE
6cIQb5XRCT64bR7duBpX/JEoGMhwceXmx3UmoGM/DK7bPjQ6fkLVhbeGygCPL3rZY0llNxFDAlXP
8Qf4oiXKr1j2tzgC5fJEqjrY/hoEpQ/WRb946QZjzjkGeEzOoR6znMlDE3PnW3fVD0Of7pZYRJpE
zCA8dDi2brOmCZJtkc53q+O2xQWmKLI+TaOVPfmd8PNnN2CJk1ZR2v5+mNchDTZlsPRrcEWYEM7c
RyyHc3s655V1h/KcsGrYnM9Mrj5Q9jKjLq3mc6EWl/jMKXyER9yd933+SFal3teir8/CXnZbaOjI
3trlPqjWD2yA37w8ey7G4EM4zdMn0UoqCG+Acyz96QOWpDSpYVTdMrDYz15tXfJw3E00dOVZU479
N7H6TAHGjiRrBtsiIgBqyqvT0OrxTvhziZ3J5GXw7oY4TR9BVIZ9vbrrXbZS7zAQmf3aevV5+m/3
9LvuyfMDOBj/uXu6oRxum596p9f/5F+MjuAPsrMp/904FMZk71/tk2NSAgIRRZFPaJ/NT/2b0xH8
QaEaGyGKiVZxTNP1vYl64XTQiyFqCbzQg3T9TzgdwjX4wg+uhxgrYsYX+q5vSCIgOG85HXLC2JnA
69uijAVufMIxvdSQouKPk86D6h/0+CK0ld0MBzjXuGBtZhPhVKKPnJfr/oX1FJYQ5SXnyCjuybI2
1Cg/UhaEiYDk0k1HnBNYtsFoxqq3vzBVnIFuQsKXIqLRDKbjTk4LjNZmLrO2Yxt7GFxlfXGOTNj5
JnD9aDfsHdEny2BKSxCl52Fphm1tSj4vEV/3IPDJEfr3ukN4xlyF0Q2VvQgmvBRcuBvQxLsBXazw
EDkDdUUG86oN+tUYHCwwiFhusLHFoGSh8qePzC7cvWez1TCRD7L74QVkkwZvU1hAxzu2W+yfRMc3
3uAnMUY4blfdLrYzasykPLCZp9sxnYNPuYH7JK4XxbWPfHcHrhreYMVKJ6fzJcu3VaA5iHFqobmM
l5hT1R5z/RD640isQ9Lpp0S3DOoIkMXcaEnSBxRu5AnIlrRnpqOYY+RBAg1lXpYnOh7Hx5Ftsc9S
NBT7OChls7WJSXIOIXbZ6SbMRfcnmnRMF9Me2T0S9Prcko1tXDwiXHrrZAWkpc1F3ItlGkzpNaeG
AGyX667wpRx2QYUz5zjpPrjlm7g2syVVL7vYQMpsqsQzGZgZZkL2LTT4c2aQaJl702FORbDz+3za
TW0W3vWUnKjFszLduXps4ReDcuvWSzZ23Tt3lsHAG1UH54mHCg/2Lhj5zDmxW1g0MIAMjJ7ptkb5
m2r8PQ99Y3WXHspCfWU3kx12527pzVG3jeFkRNGeG+GhYldZ0916ZZ+1Z3iJOczgBMZqDULCPECl
X0vvkiMTp7lN1jhRBNQLbcvb1dQF4g5qMs9qdVT4UHdNPu9Ca4m799Wgwp6+Sho2KM5um8EGkGR6
v4RyF7j0DudFmwzxZUAO2ResHHW3LaoQxUgVac4C5ecpuTYoaq4l9ouXBLpnJBo08zNgN25rpZyn
vQYr12dLCgKxlS3Cxo1VBWaaDusAlo7N+AqFhGZuOK+pNZ7soQ4PTZrnt/miHURLvcIUrx2SmpWN
DgsD2U7n4w4a5jQzOO+UulzXfOp3uFuIbZvxNHcdwXbmSLcGnNIsrNJuAyTRcjswvgqvlrWeryvp
28ehDKddlopU88Z5MOuLsMNDwArza6vF9hfCY1JlDO3sYNhBGZqf3Fy2xxFgAH2oLe8pHYv1Lp6s
zxbWxawpDACgtvqF9q/HVkgcono46zi+oUtbwDOICtdT9riukdsevaQbmiN/CS0pthpQAHYi/eD1
Jm4LB30Sq/KqAn+oGALOZ2GRCGyQu+Eb3JN3/hRgrpL7cn2AHoPmZMY4sD0bEgz1os5yLoSU9tWa
FO6d18ysx8SLi3pfpAaIRk+0KXVfHNdFROeFRX2/i2YCBS8XZ24vQiGbdccnlUcYLnKPt7uRUvCs
2kPaAeC6qyfurE7b6iCmrNohX3Av2oAhpYgKkpcsZjEZ3d6C6dHq5TtbEJGCtgV7jE8DVnPPhT1a
78RQqQ/SXtSwH1rPY615i9qhUkMo6ATWeIbUDkMXgRhgH2QY2F7wA95EyGZHtp7vBqgaNkG01tm5
Jy1GLFvtMb2yUQFWntotEwmBrgzInfeDITXalE6dMPGBSZWMhFOPm9av0fcQXTcRBtaAhDg6Fe9h
ov7p8QrjaycXNDlxY7snyBHhXYBjwS6FfbMbXUxdQpAAe9+so7uvLB/8C5eV5b5hLn1d1e6kkAuE
tXMFoaC9Wsc1KI5R34qnflyeUmq6eIP6GAs3JyfSaauUPZLSp4qFSDOTj7ZqR97XRYuQDDrKkt45
i0oGkuK8Sq/6VItwNJGByFgIEOwBvaJr3Fqc/6LRryHVv6unXHxJf1VPXX/9NDzL8vmniur1P/pe
UcU+yl7mBRRN2BUy3eH3/aUJsJEL+CGEwAhNvAh/IMkKSLIktqKGNz6lRgbwr4LK/icFlBuBZ/9U
QEV4xKPMp0awReBzYT+j0Cwki641U5eiJigpA4alIQqYnHl9oZtLDKY83dVnuel3IfvQ+pamC8YD
OTgzTiMPVR3RJDdc/tVgOmfX9NDLSzs9ms6aMFKabBca3qFhT37yTA8+vLTjynTm8Rjl167p1qEj
sPw608N3ToZsT/viejQdfmJ6fRvPPiAEu7kdDRIQv4ACHHjl+wFTonMoHYAGi8EP7H5O3k92Zqa+
URvfV1lU3w/u+B7N8HomIwcUwuARQe+v98Acw/2SiuQgDG6x4im6t2YxnsOzpTabRbmFFUiGa+aF
oJ3Y9zxOebE8h2Hd49rYJunGW4Pltu87ecsgKvsTUurE4dEW3U6kyj3EWehQCfXZvb8EBew2DymE
hST1ckhn9zLq5TvoqoiN8Z8Jh42nhLu1Rbc+NkQvcQgtnzDOHORGoMI+wazPL/u8QTfXdL78mEOc
QB3KM8QqqKivo1llB3wJ1vOh9tAlZlqku0pF4Zb4kQgeQWLlt0gJi5NVpTd4wBUwIpGmrRnbhqSk
P9lzOyPka6bLhiTc68ypgwi196wftEEwSnDF7Qjywwx8kSdNHvlV2NvzJdb4+hQRmv2MhJAyIXbG
B9z1Kzw/SqvcN25H4smQuVC9oHderfTMh94JLQL7quaOqD/xMGpv/ED+dfVNu9J+dBW5KkG5NDe1
9K1rkYcHSJrjE/cKdK9fmvi2l1H9JIZcHZyogyIzuvZ+bsr1ONu+tbeYjwLKSnnjjLCBChQWRL0o
vB4KXhxzwMbxZyGKadgiIKTNJZkYz9+lMpo46GV3jVR2iZ9aj5UswrNNbbfqEOHyiHTUe4YhFF00
k8qPdCndtTcwHZ8au95a7kpQhETetzhWTPymFReXHHreqYI8cLJVUH0tMFy6pThveKfS9abESQnx
H9HRnyPmLzU0A+nEm34OKjiXoT9dNHkQsn9l2Tm+vhgM1klBJELlP2Hqa/85LMVyGcQlbuCenK7y
sANKJ8Be3Q1Wun6grndJTq26BZJVnj7i3urfRL0H1mzs2VQI+G7LEWA1c/elL0bNqbOWJFI5TUg9
2E8oeUYkPjh5hfRKc4MFYh4FyRk+YMkZxIDhzIe7UG2i3sGLNoGDComZEu0920h3q7GiOjVpb+/V
VPt7Qt3tq5DE1Pk4KSiaUAZxZs10f1OndXozZB6my30gPlZA8iawaECsQuagoaxP+gHUhSSirqks
ON5OdvKDpD6fVsAS6vVwTraYtPrq0FCM3FAgOc7WQipTk4ITpe9DBzY3XnVtghdS3yfsJHm37ta6
/VI5CLE2U1AvV2INa82j8fNyV6CjeZ8qKeN94fhxgpVNuuxE7pCnjGNX78KX6RGqIJFZ7pALOX8O
MsHCCjLd0PXwx1omfFfEoESIVzYixfvDPQyqQ0K8TZHIM91a7EnaD3hIuzp4l4Z1N94jB53UCUER
q/187VxprdsxKmrYqp5yy/lhKJY0+uylZZI1xJJU9uy/q4mp6cN91PlWebCmaSy+6LDrHIo2HtHA
wQVY8F9c5Td1AEphg0T8Z1zl3fic/VgDfP8P/kJVXixxbKATBHmE6plD968awEgGmT7j2g6fAFiF
qfFfShlkgkYd+KKe+Q6niNCoZ2zBER7CwTBIyz/QB75kGPyIpkRkcggUi8QpGJ3O21jBtm+BmnWk
r+JmtdYSQlCnNTTEGal7jRkk5xCJvCpNuwvpY6fpaI09It4GjEBwaRp6+gS3a5fbYoJBWcPtvc8w
D71lFiuZvLbVkuOfg2GgzeZyquvAS+Z72NkLIjjS0dhT32XJAmHpNNV06wFcSzZlqEjWTQyhpT5v
h2KQMZYITht9A3PW+XSaA1aXOkvDiZr5LAkXqziniOrVQ6e4yQ9WgwPBvvMy19unqO7Q/sLGF6AD
KA5tPhY5dGfD+qyNXAerLqQ7nJ1IDnHfwb6yzo596JKBNoPWPja1S6tGH3fiS7WMNCfrE6q+HEtS
byBFDXoX7g90esvQn61stYesTabnmEDrDfYjeGKwe2N4jiEIvHiF9dc2xnPNbUjUVrkRIQFo4UQ7
z7bqL+A9GSEfs+3lOktL5HwLp7Pegeym+sHSDjS1nZ2WRXpIvM7HftMFjpmO6lUt6Nhp4rDl1KXq
S4PvMnmGgylbfFE2te+6tTr7747w/5LO2cZz6j9vCP9TvW0LePX4L/7aEdz4jzg0jQJ+CGCpxmrn
dUcAef3Dw4HHxjoLrQ6g6r82hND5A0dhfjz0ItIWf3QC8vknnxBGEyNmIlgId/0H+8JLZtS/9wVz
OQ6cGo88BnYkuC8Ghf0h/Qx0TdcYt3lfYQl2xbeqXhNh73ABsvpxN46Fq98XuGGOB6lFVWOmr33/
M+l3XXPptBQP7qGzjONcib1MS+EaJ/jI4ZqF+v/dYAOx6e3gdcEKqzNZUmVtlVCY/25FNemV7PcC
j8MbpM0d5XFqd9b8LkPnMOyrYsIQeefpOHeNYzNMtSMGQXnvb5a88ONhW80LRjmHRhWyy7daZklj
vZrG/eSb9KNPkmMw5h/vTox7tuuYoCgaKLq0N3cH5qzTjnL1v3ZyVjGrLQ0zuIeDJ0R5hXdtzEcu
Tt7U33pmuPoRplLMpbnZNPB9GtLpl3c/vFu3r5/94yW9wN4/XRJ9ItY8Hsw8IPrY9Is/PrCwcJe6
lUP6xUFfVF518P3L89UzmdbHDI0Dmlssz7BeJzm7o20qi6UDw4Pq2ZbP7SI1VtXhBLp8XtlK4i9K
EgiC6rVaeBT7cVyz9X02BIm17IO17IPrdS0dfgy3NOZ1GzuVEzkHv/5SphP94TvRn5p3EBsqDjvE
62/TBTH+W3KrrJqvNqT+4MFvcqu9r6ukXW9//UGsqDcfRPaeyUxEAcjNe6sT1VXd4xO7JF9QuhIU
v++qpPSA+G0a/0WEhXcD6dkXGQoUv7LGLc6Pobovc7/5XbQRHf/bK/FxrINJCkUsiIM3zTmBVdqO
lyL4oiT99rXf6WIk2BSdXyjOU4nULfjNTX7zMuMOEHqhYctFhIW6Ifw0LumHpS7cmUe5zOVXsAjM
OmO8yz85EUPqtcXsjHDE8MsqTeRpY33SFJvQQAKFmufXj8BhSvXDN3+5DPh3eJkJngBy4jfkuMAh
D0GuYfU1gUg20XVk+jbAkh0WVBWMBxs3vcd+aKYDo4Nk32Ee8CEjtq47ge87j7+5GLNa/v3mvV6M
Jwgqs8EPqc0MhvLDPVkxCVJYbhVf09AOHpBuyXvEkBa23zq/EE49XU9VP553XlOfVYtwrsYmxFkT
wf9ym4dZxMJqZnWJK7T4xgnA7hT1efnwm6s0t+Tnq6SYZNcHJGCMBUXx56tUSIfruPemr3rGC+qd
CQZFUeHCQqO1UNfMkktkWnLFUTUa/PZbhsUsYyW8auajCFv53o+r9NIO5/KdC50r307QCw4UXBW3
Oy1CmqXaKn/zoP+2qPGLBM+CHenYkCDfvm6Wk1phW4XiczX1TIh3ve4wm9uoaE30/JvP+vkxemwg
HJQeodlssPA332b9uNj6lF3uu18WJ2WO89U1vqvZWdJN7HNp25slDU/blK6/fjR//5K8OYB9vDuR
zyH/5skAacuBlDL5GWH5FDF+gOql7hPXguT3m+/4JprLfMkY/038RnyXHQxd/c9vQdG2TjljbvxF
Vp6P0VgeJ827yh05E5nPpYgXbpZ4Tez6ss2ZCtp7X2Xl+r6QdIliAw4FhWeDy0wd3xUF6XbeNlPG
5KkkfyHSp2n2vHo4/fr+/O3BmABQhsIETWFo+Le2w4nLyF2QDH9uIJFyFYMVl8U3hbuE/9TCUmzF
jrzfdvxd2OebXGRuFloin1aOzc7Fg/btMZlYTIuZqlqfVt9y3HWLbIYEvW0YwYO1tw4DCuRpbMtl
+KzJbVpIEB6GIWb2Zi2uesT9fYYHl0W4DH3CtRBjUQEqqS/8GqletPvNXYreHgdcYIg5EMskNpaQ
b58tjqId06qh/cSEj1HQpoj0uN7KYBl4qVZtp1odY9nJ4NoSSc5qko3nUXw0xFpxOMeMWvRnXsC6
+Ib2gDtDueWVK1kWDhlN314PfAZQnGb+MqXBEwm7+IDDgAlL3lRVjcj4Ns0wBpR9DeZ3PJGMloaS
wJIZnSPzz6WK7vAIHpcPxP9Qsm5wlE64F26BA2K/sdc86IuD6/U+67vPEOLfQnYuCLCa6d+Qz4+J
XG9Z/rFPKA9I3vthbQuuEQFbjOWcA6P5qZRtVzT7KViq9f06ilA9qqEP1L0s+JuZeWfBDrLJMiZv
BAZgZ81H1yLLIZ8UorNY6EnE76AltYsiS+FCN0HjA2sVLj/J6ZPwI+Btssb/nKi/8W6cw5riSfdL
wZEvB+ZzmsFZzEdb+Rzz46uYzafRmHXBtYgxdvzQYwWrTomn+vyq8ppIH42EurnISI6dzqdlYuS6
RQtqdj5MyRx9gfY3ozizk9HUaH2UuKw2lD6jdJG8NV1Znr5/AZQHGV+VYVMcFDsbe1tuqG83vH5y
Sc0mViEMsup9L5OA/wMRxFcF//yyGP76HX3XWxAActJRsi2vHBMlpPOrzz2YmCXz0UuHzdm5ZsII
M/r1rmJWOHPnzJidH5jnMSvPm2qYyMNxsth8okCGXXzTXRJwWzoCYfh6bPTmdWkhzxbfRInDu9zj
81jU983oYwhzKIx7SLDpMPxjTakmjnlrUheJkmb8jAbpm4hClJKHMR3LSJxb6DVxd6sZmXXM2BRQ
KPZhmFUkD1GF50KxW8MJYf1ZEjQK0gX8DdMrFM4i+Dcd0J3wJYq4C5arXiSqgTtpDea5h65iF9gP
kCP5Mq2LXDBCAdZ7/CmNRC/UOcIuj99CCobHUpgKJje4EKVjyNk1ELXOJWm+PX85T4QrFDsvzsCI
tsx3WII6ohtvkRthoXLC8FdweUWdR6ZPwOq3zK8lVsoAu5PHH0CsdchlFR4zZVLoVM0dxCxy4nau
EbwtUAhaDu9UjAv880NqB+YVNa2ceuyihv/tqeBYwCFaNvzz5LpS1XpzzjrXg17N5pGVFP5FLwaz
pL3Y/FLYHTjNQcCjTzF8LkeoR1wWcBbeZ23YYT6uFmzm6ysYuQ6/sB+gxVZb7KIm81aLPB9gApfx
6vinJar8ZdgV9mMM+y9WOwf7FrMzZRW2Zge0Wwe/jFNEwmOpUw/6YLZiO58qwoZufa0XXv9IRm7g
7eN6rnRDoTC3AXE5vioHGNeGl0MUZyHym9bJchJX6A3NE26werCdA0GtEvQkl7ZxVAabGfEkWCop
rfmixAuLa0wsybPpCUZt/edGOuQ9bJukIFTqIa77xGuuW9nG+IgGdu7N1Z6NmO1mP4q00D1Y79TG
8WaiT1zUJoEMmKFMLSafMQNIk1cGn9fZtxBfsNlqvjO+rCVSCiYiS5all2WLFWkIbIRDHS9PXpgt
JRxn3XeHUifmvbSnRfIOJWTVl+lFC1eIf+sZkgzMhX3BVil7ktEwyiTJAM+/xbacqb+Wc4BHA7ai
/cRTahwkLtm+1dDog23c22YXnLj5vLm49iejOtgj3HRcGFAi8m/jgM3TBYkfkGPu4rEwHUjmTSnb
U+eRijJfjJnF7qC4i6wFxx0lL5TqYWy3Zzz9XvsXEcIK7xTB8+fC8Uqd+GjPQVLZHdguOY6U7lCd
4Jfhd6w87EnMIYsdFHxY3EdwTLA4lAfN/qAjXAogJ+uhS0ldqH3v1PVjw1eK2gEiKsxbU2LZFkTD
zzW1dnn1ve9l1zc3Z2570cbHcmBXJUQkK0jEOpsKNHS4XyEF3RGi1STwpqYEIWa/8OURYqJi2JN9
EnLFOKRY3CX4OiELuwCB4+WJcoBErCxfX+s6n82/aQ+6h7td88U0akFrGDZbaDEcWg6mktxjEQ54
9myoRFOb9WmlOSvXixI/dFDDOmF37eZsuzsZo/nAEmR1dPARk7RqeLDrBZm9C9mad2hAWnkeNJ0q
D0Grpu4zOGRvXQyodjwjOQ1hwTRQkT/CsUZLTfBMW33BNGYdcICFrvQ8Q9Web1YsduwNSeFjewEB
de5wc0Bl7nfbHuaQhPk0w0a5HnpQ2nYT1OjhL0XFsYpOYIRd0/OMBjb5JepX4iIaNXgLmRtQjSnp
12FGKwkFqnJjyJ+WHj/ErjN5DwFSXI8A7R4TWGsDN1cTxtTFfH+i7nSSjmdjxklWbcO1ojslZ6la
bdh8LhKLi4XFwaBpLK9m23a6A1EWqdhBIV3Wx7Rws5aDLxjDc6k1fA7hESez1Q47HOKcdJTxziJO
pNjaiLUgk/lVijePGHdkc83rRQLLwz46s5Mh5O4Wpxk3cPXWHBmS8K3brmxr7x2RUBCPMFmCC9Xv
49ZelkcGjWK8suTYWPdYzsr1/djwVm/8IQgGrDwV1gubagzCwQj8/XRdNrYKu2AHFlyVxyQfi4WO
24tqeINla7xK0HgYAqFTF1GDGU/XqmVXBqPuv8aFL0iLmkIsoxm0S38kNSdpeh8DSpjDVXBMaNyC
a1ieKJOOmG+YmfxX3GDEGDvbNsLCud05/qhXYiHFKPDTHVy+THH7vfq2ybAKnHs8b1tSYGYy+TiW
ulqQNfOOnPSu83ZdMg8J4VA2aHR50ir0qcYSvD+7w4Aahfcf5lVBBTUIuD0cKzEbCYu7j0z5CENd
sRwyLzA7XE1aCFtJbuHakBwg7pDxYr5YN0cXa59alKTYeyuOHj+rC06ZsfFTdz1q/JRGHHn81lR/
xHaYziEsnJWr1YwPqvg4YQATPEGja7gUp7NC/KOgmIFtdaTrsU1CDaSyjzAC6dyj5/pUwbNN7WZt
Y800xL8oIiIv5gtM0BM0zoLJNDNNh6w5cYo9t6Ikwv1IsKfAK7P5otQlEfim79eD2RDryuWMniMy
4mZ0AfhZmfgrEpSrbdTPC1c6pFnIZ0/hGrbwuDy/59/Q7SGnpjFrE9aS9FtI6EcZF2afLL0QyurW
LZyYK2qSTiIqi4fY1Ktxotht3HEagk/4kDVkgrjk6VymbaE4FseuM7VU04WmZMni0dyjsW2C0fk2
WVKX8W6uHIVqhvMQnGoTdojxVpwwBp/bzx6uTYn0Ai8GTDc4pb6fYJ7Tch/L1jYIWRDP5uodkVjc
yC7Fb7Y96rym6agmixvLNlOYK5ikhRvC6a87gUQCHGXqxEpFSgoQv7Gtx6Am8MtpNGYVFETmVcxR
WdKz1EviP1VM4cvz18fIgek4sD7saXyM+gRJywGdoMMzmqQKneG6YaYyZ7frXNhJ/EGRzVKUp6wL
0no+8yhH1SOjGVPFwtE0YOcwMO3PzjobsyuHg7LIKcFnF/LhuImCnpelBtQi7CSf7SEcd17pUqXg
tmuqeQV5bvBPNgosFd2uY4Yu4TKA28L16NUz6wCpos1XVSVF5iMSD7NEGAAbgLVBLSr3ifJMoeZA
LXvKe8e8YCKZ0NUfezesqLPT19M1Uyrl0JyIcmJBCdFRBQZiMPXmGJj3McF9jsoasSOtdrKGDX/g
781PG4HnejtXUchx6WRcl7vNstCUhmUwpaaYF5252tflgVyF51KRMsNDHfD/H+tLsQiVflRYcebD
idllSS5PjQMDr2muqQmKgzd45t2tGjdururZSXG7TSu4OdM5v6AWFLVzS1LwdrJUzWc168BXsDuV
G7CCwIKCyOSWli8N43x4VsOUCwQo5dSNbC44m4pLb3aIGSWDAG3Ft9p2TRNYdD4dG5wa80CkF1Ne
0njynEeN2vBCzC79UxDGelHHxRV9+awyBy+3LXFYpvKRqY0CD+F6NPBtc7gwFAbfO+IIuQeFwUKC
Nd0XZAfBn1J6FqL0LMtaPpNL1WPWhNGPjSqWILNop7IhlXiNB52YHoPV0LG21uxw/8mANk13GESm
ChsWxzT5YTyYQj7tWt6PRCYpT82wFinXcexY420+KL+hRokxbHnPXTc7Lkwbet6zPiR9UZr+gdcp
IGGIX4SI1GyVHXtycMIGZBmzfRMuvPonJ3IyWpUyoo56XXqNqkxpVVk1wrqN7tEg9btRKWlejGY2
+JGVCG1eSbDUubmxvYXJLjdkNR23H1sjN3J2iDgqT3TLaXcFkYNcthXEMj3CYlimu4BQWXkWTYtT
nVC00lNwsFke9QGRqYqtE1uHll8Te6hl4mPRN6YSdRuXXZwJ7UvXCD+zZJX2hYIpfUXBPwVbCXLl
Vvs4VaYLfG0sqmQ1F92uCx4uW1aZxo59jFY6Xk9FxOntaJJs3v4ZpQ6PNHcmc+lTs3AS7pmzJuO4
x/jaK6/CDnCEH1w1bxSCHbNhjTxGi8yCUuLqhi9ALlcmUZloymfRLqZDh+1hdg7yKkyhWzuleSt/
jRr9H5hRBCYYCwaIIUS/N3ggRGyEBXE1f1qS0fSZKrOqDKcGnP0r6Pd4cvNIf/2Rb+FOYKqI9tQz
cJ4bUTj9DEHC7m4iewzGT34wm2nh66tRkSzB0fVPPwo+BDWuMANKRqFvkFU3g3msQCc+5V5i9ic8
l4SiKGSzZu/69We9oIH/Bti90AE6Dh3BFB1x+9+noNJGLzhXpfi0iHqikZkyk4+39TG6ZxmSteZw
Fq5By6YxNZ4vAVFU1UfVththHF+DQphJWkzLa/ae1535+6ytGVLTIjShLzkTwqCf+dOvL/9vTwVH
OwjrDAaQezqubf79hyHGAhULKUfoP4/QMrgODijTFnK40kL9+qP+9s4JgGEiaAImj64XvcW7KaPQ
0lFAPcdZhDHAKdHYx7x31tAskSBJMSn8zZd7O7JzeDDG1xoDEhB2nLJ//nJDL0WUgt8/Q/Mwe9S4
sNhup5yd/T51ianTuySm3qeY0Pz5a+WG9nDDbkeU6a+/+9vbzJTeh7tjpvgst79NYeZmXBQ2QuIj
mASto0a5rT9HJLewA/76k97eZdfHY5fBPxKrkDH/W/C6pDCMhFM4HycILuUVKmdzQOWQLznkM9dU
jb/+wJ8NKxia4MUL7AypwGeiDHz0800eC7xAI6SsH8mKNHjyQAwI2xyboua5JkNfLc4my5F1xNuw
9DNOxl9fwAsZ+ccVSKlFDIwtSEwyhl7C/fkK6BKzyunC5iNGXChd9sxO1xLRUpPFyBZeyhaFHpQz
L/A8s39/B8UtwgpoL+pgJCDxbH69OXXhG4gH6F+ziluoUXQLaxVhdkAdQYax3EVitCJ4jljNsVuH
s28OS6WnFnO6LLFZ+AQEwdkodmOIUdZnZ8aPh7iEEohuH1HMu+NZDpUhQjhRWqa2kkqasssa3JAu
Rua9Oc6DLqe2CaUwR3zXDR2XFb4C9JLSnl2zLF1TNBXR+FLxuY4plpOCHBVQG0lmO/BYWgwgk65a
lAFZ8Gorz399+//2woWeCzUMnlnswpl8u9lOdBaZZa/6Q5v1gpo17UbTApF0aiqA75D1rz/SrNuf
HjhbLTNlZjQR3JPwrbsOgzI4xzKaP8T/y96ZLLltZOH6Xe4eHUjMWNwNQbI4VakmlVTaIGiVhXlM
zE9/v6TcbRfllm73usMRki25CALI4eR//iHClcXc9AlasFvbc41Mu9OlzjdA++v3HKImEaqiUMsL
9W1+/jWu79w0HUtn5VTBycy5a5Vh6TTlyLuMX7MK+POAr1xXfISCabQnQ3a/cBS6XkFQDtuuCVLk
mB79SvtqkDuQtvAtkfLL0NTp8kKqhRoWaVqryurn92VcTWk+3XMdev2OS+cN6t9VdRCNk57n5WB8
JN0Sq9gQ+LKLthEwKifdJB3ZHVYQLAp+cwFsGJeTbfovlMI2iRg1sC4QDEcexRepR0zSwBGgOVNh
JxEnFBKlmBVxlcYK1po0BQN4nQPLcD94joKJEYDzfysPMW5Oy2z2oijSVKdIDIVarzkQZFOz13Bh
njFWqvTIuv35Q7h63jwDMkFMnXlKAtqPHVPbjjq/cDB97YtU7cxhRasCX9kRW8qXn1/KvBrP6p2y
eJGJ5jtsi0hX3y9gY1WDqQorfPYsbO+4Vm8DnSp2ntqaWOpZgr5zPXJIYTyFErtsBvcf/9UOvUII
tFHn4dqWq/BMzoI1K51RyBBEQcvSXltOkqlKRDmKq2y8mU3sO8hqKUOOx8nCojZs/2j80S1STSQt
Tw3mzuLpC383VIV64YudchXt0h13v0MTgwAB7daaHas3mQqqFmSwAwt/te5a3K84GX1voTEjGbsp
PQ/2vTAE5cB4RyAiqH6x33rvX5/iq9DJ1w0IcgRFKjey94+04Q4GT6/Dr/lgup/TtrQNHJwNe+dk
Xm2B8cdI7azJP85eQgJBbZGyVhhZ/oJnhk5WE0mkNE1RgvnarBK+4q75GHJ+lff5JHF/xubH2CV+
+lDQavs61Jas4bVr8RzQy3E+DHZYHWOEhLfsSDGxFUU8ZGsNt4NPC33k4UCMRWpjMISscQ1qmL0Q
Q9lxOCCGawyk395b7ErZ1so1Ujnmdlh39dxs6InnLzh7WAfEfnQJ0roDzquykRZeh8M7rAkSZqcI
g51+aXSxNuvWfTbYn891XAmi4VsnBsKIpLwx0rJ8Hl2zf0lMjLFXnq7hJqqB271mvS/fUOm0T+Sw
S8oioirRmqVb2gRzHZT0iyY0MH6irXqrGA45vufdiN3ZiqTM9FPvOWg6vZBsrA5B2/OS9kBiltBi
0D7NCmA6P+CLrP+GLlZ+ITsIfm9vI42YHFzwXZlgRAuF5ueT7P1izYCgrcxiZlMqWAaFwtWAqIB/
3MaOyjfeFznVRkjehZNXHXziVnc+/vxi7yf094shP4cAiEAestLVYh0uFqVd65dvju4WcNIm/Vlg
Sy1XRZHdDhZCyGCKquKBFqGb/aIe+2HkX24TbhgtGxbxa95hbxM1kFlt8daUKBjQOdfZtC3gI/1q
+7t80p/b8OUuiZ+BeIATABvy9SFyMorMGODKvCEEZc6YhgpDrjjwJOspzt3H0ijCx0SGGgFque2j
exrqJL+Bz+ysp7yDZgg51PnQ4pR3KLXG/ch+i9UouGIHsZzixejKol4ZnbAe9CEtsZQ1vVMJPPsw
GLPxyUehg6VLhSNOQDL3B7PwGceaWzigNxm9ODH6AGutP7+lVdTRSujbrUArdNanzgwW3t8vaqEf
eXKqDKAM4rmY7NHXJYHQXDlZ3ry84VTPw48TM74xqzTfTct0LoWfv5oof9a9EdH0aFrN2VnlbJfr
nw8/Ww3md2/GVeRgxQcREBWRl71f/WBoFbQPYvctwuI5A05rMyQytusj0c8XLIKsYtq5RYcYB81N
QbenKnbYt/q3Q+1gN5e7kfZhEZG1I7IC4KwN/S9FAp4etJl2m8yle5rN+aY0C/MZDDT/UGm8tJVD
Y2wOlm6i7ZJWMgzc2ncfKRsJnR6t5NvspMmdiTHbTQZSvEuiqv5Q2B0JOFUo+9/mPO4/QrbLHrTS
Y4NwUBhvTaMbUeu3qJNGUjZTZN6YoOJcigxq6CJaAG7apDRC2BOfLFvzTkk8W58EqHa4oumA3unn
D/c9LYlRz7O1QBewqeA06xpq/v3lxExQNe013Q3fmsSy77TGTF/qxJxh3zeljuOvClv/+RX/jvZI
bcARh+gmKJ/XtEehGzlGuXX6O9b41gHYjEihsJ+1I0BluqUR0bHS21H7Vpt6/pJEU3fCm1R/0Abf
3P78uzg/Di1KTZZPNKMuzO9r8mk7Frb0Ikif0USDgXM7We9Vu+Cd3xSzjeTQyEA4igoL+c4GK1yn
sUM4BPTrNTiJ7wc0PBF8t5XjotjLBwX9AqGXmoxvMwcLncY0pzunj6N9hO7BWlW4NY4rOZMwqBQZ
RY9Tv1cFXrHgWq3xWLZp1mm3RNYqycboaqcLLRT3PLaz1E5qvLnZvYMKa/pTQZuXitIs0FrmTY4y
DH9serg0PV9snJI31CLyqTOmch8XudmuUGVjPO9MtIsCB9Tv3vQTXP9dGHUI6UhX2HYOHo0YFrj1
7ViTmbGqktqBx41sX+whp4ztje5ExqeurZLPfTl2GOkYCVDPQJ7D95HyP+XV81z//n//z/mtSMp1
Iikav3bvhFQ2oOJfBvIPUeWfzjJOYPK8d7XBG0b92D/VFoJ0cYA8x7E9n2whJbL6p/4KVxtOARjd
XFxr/im9UiFFBpRwygqQA1sJJP5QYFn2P2xS20wfmxvWC8Fl/gOlxfvaBRkH5wK4u5yyOWcaP9Ce
FaWDtlvvPBQDIougTEDEYY92ePePjfzylwdz/32X+KtK4H3tcrkY+7mP4Ny3HG73qnaJ7MmCANtZ
D7E216+lVRnPczf4L1nSYXziYKH3GumudfYHGGP/xaU5bqKBY8/64RwEj19MXcVuT1Yzl/ZhfF7o
FdPG7R1yUL0J6TL+K4YZSHLVkl+ss+9XdnXnrOYcGSD3g4zTx3u/shsmpAof3+KHnMZ4QuzcwLKh
4/ldH5JKXW4qiFz8+S0b7yntf1yUoWIJtZy616ViWZdhH9W+8WDTrXguWf/3RuEszZYdwX9R9f3J
SkxV0IseyyIULt2bU4Nl5ZrDc2g4Nt/UbpROO6m1OJUty2KdqVIwqgxtmrnHoQ5nsU6WCiMMWQvW
3ikvTfMXVec1ZKCenYM5AZiMqj+va0GP1nU/ubHxIOjcvmR9bu2nnDM6suhJPNNsUZwMW779/Old
AbyXN+agS8BZjInB7+/fmKPpqNTtVjykYhDPpbaQGkpX6pueTs0DnjDTo23V4o7ChzPYHPf/mZf0
5eUBybCI41jFuLmeK4Pvl3hETeLB0ZzpEWZC/Tr7/XQfDY34Bf5zVQT8cS2EFOAyXBBV8Pt7DWcX
PpPeiwcr8adHrQbL20IOVVEtpinfMHhCeq47anbqRRHU7shk0VIX2SXh3r943T+uSIDLOnFpdGlh
6V+PWsPSKkhiof7Qdw2TxCIxpjoZhL8PuJRn/n8xSRCdqHnJPxysrmouSL56opmD8dBK2nQlrOsl
ICa3OvauDtLUptbeHGR1xMaOUe7ni7gr8OTFlT4VKNJFulRHzRmmx6ixp4gEGcM7ddngb0TnTPdx
PDQjn5oyy2yPNt7Bxxso/0XldN0oUoMVSALdnWCrQGp6dQJFChf23uyLh5Bg92a7uG27u4ybqSvq
1xb9ToBvEOse/IpT4Y3Q0JIlTwI5+80Oli72MgnuYDkWhUvektakyzevJRXj53Pqb1ZB+PtAjGj6
kIpdIydQ2PvBCS3xYC+E2a0uj1mAPr8KPRTPDUSKX4xs43owoYFgVLPnQomDiXt9RRpQRqpns3yA
QFwd7a6wz/Ba1C8mdke9TopnazqS5LQkpGvOUTDGrRGWzFPSq6hsE4HAmwnz6T6FSH6j02N6xd2U
hVONicsjwuCIzYuMY/8ExaM6zoKTpKYl1t5wFU8S8P4XeMP3qvzPQxgNLu6E90wPCoCchvzVoF3w
Z8XAYI4e8IfCdbaeF6iurpZ+IGx97nblEA8jNlID4aeGjdUVAdRFGOMLQvgcZqvIu4N5qpE1pwZ5
q0XnboeL7xUJAbhQlgLzWjrrdrjgmbT4hFXEo/ax1sBHiSCrID2OFystgLJYrnEyY2akymeLLUBZ
bqV5tbJwx3jolRmXJwuslAuvuqMsdZs1tEmdRD0ETZ/F7GYfRDXnX/VMijWeJG0MN3FZIKROQ/w2
29XsHDrI8uukY/8+gMmRvMHBqL7HkxifsOniGWYp+zAb4RNMFtfV6hccrdNxbYaui1k2vZtVk+LQ
B1N6aPBD4jwDo8jx5zZwOsP7jc5V65EEJjtoAkgrcHHBMbLdG82caPsQOORkRD1pI/UQHsDs/ad5
xJk0cPFVaR/wbhEWRhrqDNsQsRYHBV3i+t6NirwNJuzPwzXtSP8linu23Ywx4s60c+Fnzv4G+A4T
XUoD2j2iW/h2lW2fJXYZSVB6rDaUgCzEHJ6nR5nM/NjsQqYD2YPY5AHBEuYtMEQ7eZmbkeIYihhj
EoxALzZu5sXTjdiT5gQXFKe36LvtW63yVCxg/7sh8zvahTDXVpER6zeY4rZr3ywUI4/whNZPVqj0
61fIjstnoSJcDBXmAths/Ib3XEXWfSNvOEiFWyTr1RcCr9HQmGTXNZdgGBURE/UqLWZRwTE63Ap4
X2FX3rRRba8LQboMA6vQyUQhIJPgGagr88ojjMZqdAf4P4nqZ+0SVjNANia5BhNinxgbcmB1nwGQ
z5W7LtzCQysGr9MlCW8FBA8jGnqsMRqQSXEo1ATo9IyOs8DdWPj1Zy0esPsoEP6UxBY1c+FtNV0V
P4s9PVZZxpMmJLE66hFNP1Z7zTo3uG/h0pdDy0NzG+YfJ03yxuawY1OYQb2DwfWVjVrFWpFAxpVI
dYTCWrHsQH0PvfbVbyVvlmgdXmqSwpjS9RaOMOTTmnRuyavPBpbsxIoeetdbumCZHesc2uMIpKUT
7N3lHqtRMdrnKVz8F/hD8k0usbV3lBcbfG//5FoFZght3MhVwwwlGwkpSg2BxubLceKAa4sw64Ve
tbfO5qI6EsdrPDe6rf6nKvdPXTewPrOcheEqt/wiWgvR8SfQRrkn3P3FnaHr/MHiQuPfetDMz6rB
yME8x74VirlI73AeZ4nxaaCfoqbwTz7KgUdURGzqicaKelkjqeG8U2iziYK1tLuQJuhb46tH6beW
eJay518v37bo+yhdIYqY7ivKTgMOeTKT46JqkSx3rPZDWWT0CKNB3GEtKe4Gi8pwNkbxPIjF3xhG
Oj/2CccNk+bDM6kHbM/dVI/rWVWP+P/YZ1HM3BRTkitl8SDfYOZPj6n6t6Gda5KaUqpPPRvsM40o
fwM+K9/qnN228aPmNc0Kql+YAPPjpVBAqFzOhynNnbMxUd/jVsOrbfgyk+Glb5aZuzwLyqF91Wj6
nR4zpXGJIZ4QEUp1Yhjx7gz1bcuqYeORVbuTId9IT3WK8KqCT26LrH7FZZzdfEYq0W5C2k5nRy6A
stDVaH80suWbD/wMbFm8HKYTGpwStwlV4PSqVMmWtHv7fvgxVekzp5j0rXN7tvLA0rIGG8vawaJu
tGfvBIPBOscuGsMbth2+YG1MBBp4kMTTDY5x4W+5hkZrVV6mkAhtiMUD+gfKIHYePBPHB88aaQL4
kndUhx7FHf/pR4q2BouFtQ07Iqw/8Li4EbOgMMA9ZO/wpu9Ksmj23E51NAeyJOFZzfNKi3O+Lc5N
ShvEjtup4WmXubjTI7iwZKcp5X46UK5aEA7723qMtHhXxCFnQOFgBrXqY5pUG+xT+DIhXpSrzsp4
Zp3w/JdpSNznNPOafNM1enIDX4Axkse5fY6LkWc61QX3f1kEstycHucEz8wgzxI8KzEU2zc+M6x2
1OWLsfOCVM16cLX6NRVVdYQr0u4o95tdE5q81cSgx5azkfMcRt6QXybhC92f6X5C1HBuPajymZ4X
xcZIFs1ZRzYzvm1R3NLzYSRaAEryOCYsAbagRt+INmfxsaImkvf+RDzN3qvUC0obXNW3RhU2u6IV
/kvSLRNmgBxHJaQiGjErw+upgQy4Z0+zntpnnJfEs6F5nAH8lGOINXnieTShEoPQE8BAYkCKHcGc
+PWrQ7O+CRox0hFRd8hORI0sHVYgVBOYuKgDL1FD9StECaZoxBEVe6cMNQBH2ue+4Q/B53gt+HRN
9wukMrj8anRets15wXONIEgNM0ov5t6B7PxTaXjaKu2NYt32PScZ9dTaepj8dTqKfFm36uvEDneR
0Y881z1RHUiCIv+UZyXTapnNcO2ai7ntZS48pEgRy1GSMbkMC5vuVSxb2yRh3gDeLrFzeUT545ib
EQ/T3ZzYebGx/T63H6d2LFtS0xA7Qr3Q7bM1qZWF/9t/oWXDsZWIt33WVBqBjL435gcC2vhpIv6M
5glUdmSIhBkPGns4cYcfhVr7JiPVcOAWStRTY4rDkdzqOK/EBWPi8gC+r0Xq4E4CEuuCWljbyGXH
uYxdggbY1kh6R2fnJvNvLdvQw2V8WkYf3qQAATdDiSziFiUbQwQeMwPKzoYDbXX6798HRDEW3rca
5dkQFO3Q7jQUG+RN1fY5csBSLqPCQb2+rDIjFHeOVTKRG4IwkA3wEDKpJVXglKVA5GWXrETzkiG3
aQxACFjeybJK1A1pY8HoS1o7D1pr5O9mCqF2zXov7oTFLTDkxLON5HJcC+JJvcClSfBoIKcwt4iM
pvs+rVjtsc36YOOnQ3DBwqDWEd72Ad1DONlqBbSyLivoErg87C7U1PbdpTwl0x2ZNmoDwnEgMmd8
XoeORYFsepJGGs3zWa569W3TvmOamc3MdaN6nh4R47ZKWAhxwZ9mCj/70jadaRvD3SYja411D9Sl
lloIwr3wkmnX9UMZfxCSiJh9qYw3Wx1aDYdGPN7Z+StGuy7CpX3u7J4iJNIy/0UnIuGmJNOE+3X9
8d7qDfep96biA97VX2Mt1ILMT+XORqu2crHrP45ZlH6LTFmtXKPBxdbhSB0MlckEntgeU1yWCc5I
Roy/gDx9KpTZeSG+huec0F/HqnRcphuN5uIWr/p5IB6uQp1FpsM+qev0Fs0O3mfsmji9m8a0K0Vd
zkFe1+VtWJnVN3/KqRccY2IxpMjE7VcauEBPk+z0Q6MW/0MaRgCRtNuoqXqLrA8jL/M9ohlQGJCi
PmjycNSekNrwetqi5tfGFzwk016mexBAWsXmyILTqsW/GahxwPOnxwbV9GMWdVR4UwNRXVlHXQ7K
Wc4oGNHPqquq1o7e8vVgqAM2GRX1AZ5RfNPpspmEMev2gj4s+72ixmR38WtM2tQeLjTiJIgvYQRd
DoaRHpU13fQU3VhLw+K5gmocHsHT2p0bV/4p8SNrD7Av7qLJ9lFodfIN535v7RBYqQJEeK/Kc3LC
E4HNrS8iVqvFSYzngSsHl3UTlT+LI3RVc3NxxDJyVW/Woe+dCiJHijXexKzR5J68ZsR8r9C0U6o1
TKEuZ/AkoZYdtMreOpFamZcF7/2As128M+w4+d0aHF0ekcgx4zqNODs7a/yT9r3CaKgeNHbmIkNp
tHdd3B32HNimbic53+Dv3bc32NQQZ0pL0+Os0tlnPcMsA/MfIDviiJIAnIdH4uLWC9YUGpwkCoeN
xRlm5zkGsV4vjWvucRZkPiyRWg4uJbOtF99ofEwrULJC30ZZ4XobZ+6MLVeOn+MWcs0UOyrkdU4+
1n2Uremi+KzOnHaWLRti70J0h6KPTKfW7umW4phMOY17stma086IbO2rYqq+pX6//J5TVX7DTExS
bo85CZLObBxFLXUyjLBizpUpM3wn/Jn7i1dz0yCe2DTV1Bxsc0rukEJDAU+d5BM+e9ETQqFhCvoi
p7OHmudm9uz5zjfr8GOMPuhr1cx8kn0xi04uxtELUiZ48Ho0isCFkUc8jT84rxd05n8dnl90eED/
lEntv7fS2pdvybk8/7Ur9MfP/NHe8Wjh+Mox52J8BVT9r+6O5/0DzN/H2c6ExKiA5H+ZaRFM4ILb
ERGiWPLQKQBx/jTZc1WThB8DlTTgP/4nLR6iAcFv/4SL4MVTQfEtgLPJM6C/fIXv9gYdrAUV7D40
F2wkmzw/22mIj2yf6AZFzYKv6GqW84JoQQM5yiJDnBz45bcLcN0UYMmJ4FJPhje3FwWOtVP5xccs
HsgAOQoHxV4r1lMVdtuiXMovhY1FOA0n40ObjE63SofWxH0195YAw1iEDNJHIpg43pPbZvljO/XD
B304F1WLsFrG2Us36O1rlSX4ci1DXi709OvpLPOumDDD1uaFNisSp/Xkk6KJgYMbZZvaabLfYg2b
Tjr6BdXSbLSoOdE7YCLYTHIVwtq8BY0IKe50aDRruzU8a5NXHlrVFitegb1Fat40lAnxaorD+GQC
obEgzG5CjlGZOzgGa1n1tZZ1/Vp1+nJHHp0e9GYuj5Evx6+kWpevVkcdGAxehIx3zOgV1Gl0NmLD
YO0iXqbA0RZH0jpwehIApsQbkVJP1b2Netlfjd7UtCuk0i67VJLdeSYaaLJmlq2KX5plxTo79tGq
ycAaSsJ5HAuLByNx70UjfVy5zeLrROnKdl549/hNkcDbpd0T5Yuk+ymRUI2zuUOGInLgDdKp7Y6s
snRe+qMHkzjcL1I0hwEtPDzfyAb7S+wGcEkvjDJAQpu/oMHsn3oLETzl4kjMXDaIz4mbhZ87jSjo
erSbTVn62mlccFSE/+ygd5mtYASuOC2R6D9hsFA3ge0XLXEBbXOMPW/4BqcJBW8E5ZO1OidNe7DK
fFM3PmLkcvSJhcaqcrjNtakVYHd9dm5w799EcmrsmwhlX7Ey0lF+SdM8z4MxbLBcRdQW3ZeeX4od
0yV5jOvM/GRERfLgLzZXg/7YPonaQJTQxNZRGEgUVzERCzvN7CIC36t6bXRDsxs53DxGtO0Dp0in
V62M2oOpF/7vYzu6LW4CRM4jNhy9ZIPmy3/E13mBa9ehiCPLzHTuY4tCazV4yBGJ5ViyrxaCKsT7
pHdsIn0p1r5N+EBTiPKZ95h9HIWM790plbdSzPHBBbjkrFqNzQk/OWutOXNUrBmu1bNnNvoHYgMr
udYa/p5UEOu2Gay+wjShqO9SokETJLQFs/zzhGWMBQKMy4qKrQOF0OuDPyQ6v1XAvnBCidKYU+dR
GQ/o+Ym20IQG2ZAoVnfF2I+rcFj08BH805wP5DmmOwyD74WXZhAd3SWg2gahRGn3NOXMno2c+vyV
GJR5JXKUoWu3t3wZZLVBcBRK1qcedh6gUyK6oEMhREJRot9ZdTGdOtuJb/AExySlknmQYdOwQVya
bWgHMhSZL4+hnHSXWKYBJC4czeLk9J2e3rtIMXJ/bdX48z1ZiyRzBCoPdit3hmi03di3LxaSmAfM
eX0iI1tz3JvtcOAI6tySpdXeFF1mrHOMXW7qvpgfmsozEOznzary7GjvzTJ/GFuzfczHdAqsLE22
IRkqG7fmRUL4XRUhXDPcne8UMNAXHU4KHckU6YHIZD7J1BrEtiHS7cR4JYPExhWEOLcUSAsV+Aod
nORjtDGY8NN/iZFX7EPZVoHgsSC08+SHRLde/b6O1uMCboywR7tNFxGSy85qPff6p1J0NYbOIS95
fmvlcOwWnmHY6UeUMt0cwPbUt7qMP04mDY88rV48d3b3hVd/xYgn30yJ8ajPrb8Ou/wlMtsPzpim
911TfibqmKDs+cjxUd/iTv00KBlkMbmI4fS5WOljNqyNEpXsqp9qj0pXqLiVEpBlkI0LCuzcNomQ
h9aUx45if0sCyXADkctaCznD8IFjqa9dP4sPnFythNurl1fipOUtOY7W1hnFymAYHR3eNkmiZBHo
Wl8+EsNT3eC6rN1YM7BpR9zyHd4Aacj4AZrAGKd+aObZfyR0mehn+IH5Q6ZN4wfHb99cIjsOWRKJ
44Kl2UaTBCkHquxUy2wDJ8pj+D0j4YnWkEFxZZpsY7NgGbeOnGi+y7EcWs2DQGmfRT3ez5a8M/zk
wW61hilBS6BFtXhXtFnBkSUvnoY8DGnLh9bK6qnm7EqfyYobjvhUEiFmoCvKp/AcS715MGi33huT
Px2TVpqPTuKXT0hfOayazkG6RRlAn2Xl1/RPOKcQpaLxS5xOJP05fFMjc7+O0yAfPc0n5rCf5q05
L/62J/7xm4NrNDGvG9kv/WnsACRXbS+tO9YY7ZR2iUsnJC6aR85l+Zr2d3bEt80MbCzcbtAQxl+t
PGdu+ZXEwyrrHxmEOXl0en6PrziR2KXjbhJnkcDH+r1LJOq6M9J2XyymeZ/jmLbW+rn+YI/iiz20
JAQKLXsCkeec0bnQmvC62crRyAinoCwAXKYJHQh8XLZzYpC2idUbkvo2OWqD46PAHuddyVl673Rs
kZidOHsthxmx/l+d/P/jOGs6l0bjv6+TPyXya4WNwbt4rz9+6p+VsvOPC50CE2qEIKoi/lep7Bv/
4OCHzaZvIUNxiU7+s1TGdBpzRlXHeophjbnsP0tly/gHQAGWU9Ck8FryqaL/AzbUdYPaRwgDp9+w
oAMbP/rCQeCJsx5E6TsoC914urcFPtMEDIIOdC0tgr8cJP6GEfV3F4TdAh9K9aedi1/cXxifWCEY
tVEX9tHExm9NWDziacXycHKv2UUzCPnPr3fdD1c3CLuU5wUNiWPPFVFA1SWUia51ZMFzzqmC4C+g
rrTJFPj5pa7JXlyKV82JB+IOisHrnI82HuOoz4R1JD/XPiculC5EcRzhCXUCfVjoXblZyrleNTR+
fum/uUtGElQ7/M6hm10LFccmw4JJa62jNKBvlF6t6Cp2CRDEHl/8gq8irmlW3KiS6XJOQzGGEPmq
GT+hSi/cKbGO+ENxIbcGuVvh7wBoPHQuqEpJuzo+FIBcXjC3NJPACirg/SlPaP8Z5a84LT/evqMz
mFAMI1FFQnd13COfgH4QpcDRg6cKVI+fP8yFjF/+u2tReENQZAgzcK4GFMItPcdx3SLoaaTvZmny
zeWY9siWVH/HJ/6t7bF6jn+eYqHo+A78FtRTNjaK+FtyZv8rOzoBtQamYeMnGeabNMhGAOj/T9lH
l4tAhLz8zip19TIhgFhuZ+TWccHyD+uVAdAfrwQtwNMF7Prn4/SK0//9lkzIzvDbFMfzmnjlkRQx
LEjRjim0XWpHRSoRKMmdVd7K+hXXNjoHzswkVcSsOe7MfTRwuP7F1/hxBDu6xbKHaQn/8gM+EBoC
yzmMEY6T1xkHkwQ3ct8VhFhrkhFKg6DYIAgF0+acCOPvMnltxRRkBfkVU/PvRq9lofnw1ZsGBnn/
mrPcd6Yiq5m8A/2VC547kvh6BPH/lU3q313KQfQI04yt5Qc+KuUprSi3MY+JzeP1/YgpSxQjS73n
8CZ+/pTfL/Us3+gmfN31LXYWGFrXwxf3iyrnUKodQnppIBhaCx8LCc3rwqH/fihnVoefX1G8X4LV
JV1AKWKWcHLmBV+zTutsQccjXP+gh3TcLOz+4Gm2El9+UtaUfIb3ekHNY48eMzl6sAZg2RxdrQT2
JtSv2S0qZuGygnxvic4LXcdVGGskhiWqffnzr0yF9m6Ww4x2UDUpsifUZxOn1KvXT+5Aak2FaR1k
rhf4AMfLtkocbRsJrFZweyrQoAWA6m0VBgQezc5G8GEPLU3IYgMiQIcmLEJeZIjMkrjponubyBN2
Vt+7P0qlHq9BUDkS2IJ2yEpE9MsvzYHcgYGgp/wYsi1z7+Kq0a5lapj70Uib106xu7zIMg9tygNc
zfRF7qMkp+cOvdt/waNcQ0Pih43YCWnz0dKN23GNdMhBKNNi8bmKMI0hSa9suIZq5F70BE3j6frK
GixkCDRcxZ1EwIou2xJwPiu3W240oGnnMCoOG6BCAV+lFWV8yJAavsG2al5xWjHqA/Ko+ZHjI9wK
o9Poidagc18EZvUYuSymo/Jx6aO+NDmEnrLLnDOCcUa7lRr2eSZr+E2KWu3QAwSHAjrB1xq35t3Q
uM1j63TFjY0aM3CTyCJfS/oDyaYERBbBpUuPhpZJqmgOVkg7z5ys6TGHVvcyW2QfX4ikF4rlpZPT
LQbPxx9D91HKaHkxBigYta/aZpfwD0H81FtWRKBm+IORsS5DYQYeJ9KXHlmyAzttNvc4DfMphWpP
LR3PzeoVLeKyy5Xs1NtaOjkq0CJu0x2KzI7WtOuqhk4MbLYqynlxD7EqTC5c1gtJRU8NukSwzqZN
rmu01y9EAszuGDUZatCz62Q8zRl1NDa1lUe4+aCHrnO4tFw0+sDyRmK/mt9gMMyXQZybFRus9OSb
U+GEwgiOADKKxRN3sQZBbD3bBa1LiC90+NzZYr/pMpoI+M6ajGVcRv0XqYd8rNf13nrS6GvWwmMv
6shFmrYzXpgGMJtNH6w2o+UWD/MlCkQC1XHAYvrswDqD2l62fr62Z9E+ReZi7JZlBPczcEn8Ug5D
+ewtyXybNyA0jZwqoFBOTt5WJHp7SPKKsJNcUW5kPk143ixVv9YxeaWLvSTjCgE74BZOVvOdh6X5
sbDiqiYCBEVOYksIMdCDgrlc5ucM5f0GfK2uD5k+J1RGToaPrS7LB1qrHt5lYV/QWGu7b561VHuc
Ufo7jrEAPvOUkp7SZ6xMwaLYD6POyW/VQYz+jENPK7fSnp2vJJuItezK8gQlsI22ivA8rsBKkjXh
SeXNUPXVnY9Pz0hwuYy/RIqp5lZdfYuvu3MDXyc8EgTqNjceNpavNZ3oLXFSyxeiYaqDaRURZp6j
tXwp8ybb2DYezlIMvEYsFAdAqrH8gpIKIy44mHKd6a17o4pRuXIBc4y1ouJuGmrA1UDxsi08AzOe
GPAAnXn42NMa30P7rvdpG8vtbPfz72FUjZtYS7SH2a+Kz0k2EEY5g8mRoZrB4QBpcrP27HJ4DzwI
IWsMfOOgH1qxLeqKD/I0eBoQ+9BzhlW1ylozFmvHhafVBXTz0GCuWkjwEaCGhA11otL1dugQZ3uN
lem4ssKQC1m5H64x4Ywhj9QS+oqM10s1axujqPqPdeY0NUiJ3PY2ZhNlrH/NXVl99vME2NsX01Zi
1LQmt1vHIK4rHtiVFqzgWd5PjtWMqzrSeaMubN0TfbryHmlEfY8MhUGtEevcnS/0Gs1ImRJSUaA2
VQ2UcCQ0gQLbwKmpCVhtu7eo1VmQqsUXz7NOyDnIG4yv1u3hZnv9hHUeRk0TxIOq0eFaQllbAiiy
1WsoIJZdOsP4RbY7jBrZj73eDuH6GFZ1rNpcfZqYannzXa/CakxhpsKHNFzf7iQ+G8XaGWhwKs02
+UKx3cDGsdBPXEhadc2wDSp3gF9EqkROSnyDEm2IQVWFWRkVcz6WdfHFTmOv/jbXg6UoeF24yfGx
2ZSpNf4Od7uJAjvT7E9k5fr7NvblDhc2kqD/H3tnsh03km3ZX6kfQCzA0A/L4R2dpLMVRWmCRVEi
+s7QmAFfXxuMiJchRr5Q5TxzxFSQdDocMLt27zn71DrJxk1p5em3fhpecuQHOxdOXhLFM8vHc7kY
o/GQLTSej6TMB+eJqXLklbA0U6W6Y27A6ZyBkXxC8Vv5m9B31KfJldU9Up43US7PWjjWTTEIBrxE
GcP/C+W4c8ZWfE+GNPm+ZJl6SEafT44nPt916BdCJDs+Q4IJZOe86crePwFX7YGHqbIlt8VjHY8K
ooHVkTxb89KB3Hzd9QN9roXwjY0k2dDaeHwKRIzST3gy6knXO20N5bWW0rlZ0LHfdJYz3oMz7iLZ
WP2rMxnlrhkW+1sTerQ+vXahoxQLJhF9YGdRkaIyVuOi6NR2JctFGLvbvAqcE23tbzFpLw9qSAr8
JqN5jTvU/Voor0giWcKZccD5IREk5PAcMly+lvApTgapFR4yiKR/EZlqLyuftmydkaFnQRqGGDL0
lTxYLHl7g2KWVFhLiHgDQ8rX+xTPzKNXtO1xqu3loc3S+Mqcx+VuSEmXDqdEfcEB2407s++d7KQz
rd0oaNCiY4RXQXH2NEKQQ5iO/XHtf17l/tJ8InhJhJFRjFW9EYZvQhHj5jkrdvg3a+r667FtIc6x
EV7WeV+V2zZMY9QtQE0uUha3Q+GQ5IT0skWUmEz+dJeISYE3zmO35b4s5ZdCD3Di5tK9ol3MMmqb
0CWjrp1qBR1CjsTW1Y24Hvx5cTc4DaxgF5S+w4JoqR+N8MZ4HxrdgmYGHYTjdGJnl95y7Ec/u+8r
q/s0WnP/RBSIs5s04WBLrlEPgRfZOASGWxu95D4YAuVnEcqY9DtCdvahwZynKCa0stw6XKrbaeGc
QhigLyO3ibMbfBT6kymVce1moJQ3md3Z+8CwpU++Ze3uu953VdSILOzp0qvljfBl/bkN7OFVubH/
nYmml+1NBJF9xKSNWV9OnoSE746+hXzdLtvKFNX/0R/aNzfVyS3IaizHdIuHk600wexNU3fbVGfd
DJ1WyoiwcXljME3YCdOLh20IYvCULLMG0gr5GpLd6AzBZTGaqB0df3pO0XUiP0+W/Ab9BC7SmGjC
mzoscUrXxKVjsLP51EoaSA6xYarU45NOO02/+b1e/69m4FeaATwSfznZ/M0USvrWt5fqZ8nA+4/8
2Qd1flt7lcz9LepxWD8cg/4whCIZcOgI0FGCLo5zb20K/OEKtV1coT6WMnxajsdBiUH/n5IB8zdB
25JelIfJ1LTD/8gV+nOrxV2TguHB8lcAHBCUSH/rILXC6W3HOIZANQiQYz58HElaevzLNfk33c+f
z9+/v8x62sODCknvb32HxerlPC2TcewXtN5FUzEEGc3gpmKg9auAn4/nSt5SCLCJmEGMMx7dlp/b
CnwWOScWOz7OVhPeINWZrhmP2ydngdnRetUvrfW4Oj8cZVeqEt5wAnLWzrVvrm2XvzR3wTC6neXL
+Jgxh8LdgFTuqpHwTDf41BvWcHaNJxp5ttibYzIBkeZcOx/QM4r6AFBkjNxpchRzNASU7SoBA5NP
4T+H0vxW60xedWEfHro4CQ9q4YRPcpGAIK/rE+fD6q6kl4KXUw6f8KLVzHkl9PO4ImJwHrIzKejQ
IeykTsmYMNHvJf2869io7siwX2A8wz1NoX08+W1ybY4zo22/rKOxLc3jIuzimkaHF0Rpbo93oh+r
t8Vemhsom/kngYmEgOa43JNBXK9nkQkwbK2OZhNTZi7AY4OJvU3C1N9ZqW4hUzMNxP/SnGUL/2wA
evhilolxLD3VbRdpqGNHeA7JxzqMPfyzonkliJeJ77JC4pslHTcIggOUdoHDYFPIL1nBrsx4N5U+
YER/VkDLvoTMJeb+Kq1bUogBqdQoBbjPI5ZZE5SIXdXfyEhDmT0mweecSdR9mJhhymizD7/nQd/m
GyuUPqmvYiZXzsgzxHnIOrFVBHb6rUjLwI2y2ilvTCKQEXk4SXPlj2q8nPHnP4HvYJIdZ3IrRMm9
l5NdsHGy3L3JbOueHcGM4lWHmXaht+uB7X6pfPJ/G20O+2Dy2GM18PTvco2ITOv0dZZEPic0uNCf
BMzRrcVNkddwcVJk7dcdlu7Pji2MO7vOlitzieENYZotCNOaTGNbAGc3N0ZjPDhe5l7EjgnIT9VQ
gWeABnRCxu8otodvhbVKLZZk8eqdMWThiUvQw6PzXrsBrYWl4BoT27bRfvndtFEZrr3E2Bg0GLnk
U4jel5u0LQ9GG7APGpWOeq1q9ljHjMKYssxvh8uchr2NNjmZIzrb+QstYOImDP8ruGF7myK522k4
lfexKgXipP7W1YpRcBD4Drc2Tw8j2eka5aQgM3f6oSufiAdpDNeFqJdvg26I/COj+Furi+KGIarY
Fssw3HfuQCrEENyj28h2o7s8G6O0z2IhlhgnWn82/GXZUd6pB1QtROxa4bSfK+euVtVnnyMVrKYi
UNTqA6X8/Fp7GfPLeBoBE6FSwfxBggASk83S59O2SKrC3XlinBmKlx0KRbTfs74A1kQsQZQmHZ2g
2CBA+anoFfayDZ7JXqHMNJpuO87A/B4dmQcJvQwr18GkHv0ZhG5o9T6j6TmVRWTEJMNt3I6EUaLO
6/qgpgUihjacJEAfWQiXOb/CMEfrag72fQ4U0NkkYK4RUqoluZ8Kl++022xKzrTExnTTVLJWt4ln
JIG9QWnVp0yqMUch/YqV+0W0JHbkG7OODTCfUofiKR+VQS2lWSO/+4Cn4DQO6WCckP4ko3yAwlZX
3YGWU/HFcNviIZxwe3B2YxluKt89TibCAz+eDUn8hIhn6nXPPrl6QiChlgluC3Pu8OAOtn1SIkb3
QlV8FBW2bSa/czYj+uUMCI4fKViPuwa9Z+zFD0D51asn6jggBxFusVOs7hu0VrTenBo95movR9hZ
nzIoVLuhGpc6IowDnoYRoBjunPVo50++tbfoEW9p69U7rAdDVPdmoDfGnJLGjeDlq5Z81Q1G/bDQ
v2HGXxtju50mVd1p22l/rJLAK/4QAluL9YDZzmG1bEcvKQFdkjVyEZhleFO6mfdCPiB/n11O1p7M
iwrHIV6/qIBTUnM85sDAxRiqNxFI5FnmwDm2YNC3DUiYfkiqlI5eTxlBwdyA0+a5Lbf/rQL/fybi
zLzY8//3gfj/lbAPPghH33/kjyoQhNxvWKFdG6MsHtH3ouRPLIhFhUh5iH8ZpPGqHP1XFbhGMPNT
ZIP8j6b0zyqQFFbB0JNftwacMRD4D4bhQvzMQHBNiLr8XUxR4fjy533kfVWd3/e68BQq55bWCOdN
Ba+fiA7Xa8zLpp0CUYG+okM9HgqBrsX8PEANsyD/tVX/KCpnWCR6JkZPu1LmslU5jw62wOAhIzuE
rSUa8xrIddSiUK/3jq1o3rDMznQjlAJlTVtTEBksRyCbU79ZBhzF7XVdznnNo5SxnYX4jK/cONcn
iqrJvMgzb76eaVo9Ev/VAv/yno2+mQ6qmfwkMrEChW7eXuVrVgFaPp4K1y3EY+plPEwZvRgCQap1
LhBIJHfK7mjLlmjPSR8pseAuq/fPbAXrAay66TozU8xlIl1JUhIPGr5inE7lodZTeSB3ogy2bthk
F16VdP45DIeJRKwZG1lnGHTjPGSdh0EW0wgSEdhlWjnFsYXgt88X6dO1x1WH08hZe5/VFE83wo3r
LwN6xHvlpfWEwB6Pd9r37BRYTwQ7azIv0GSZEeRuNz0P0pmf4qUBhy+TDn0meG4NBlK6vFEnNkfx
DJi/u1KuVR564cmdYxXTjpZPZxHBgEKTfL92S4an2jEUoTudFcq98FiHnsIcLyHmPQ7KQIC7YY87
ysSqzK2+NcAwm3edV+yYRNTVwR7KGG+jq+kF5QOivT7PDerbavKZrzqywRnsQC30purYNTHD8WQa
g71QSu3UQOw9s4AJrZgY8I7jHG7daIVjv/lxZr4srsUi6vI07tfiamfWzvxSMeMV+1BW7mFsdPuA
jiO9JL+kfCaCDcO/ufaAWyK0juWUJuZWSP+mqmYk/IKAT8m5m3Bt6L/cNJa2ph08sG4/T4nepb4M
b7TbtVQ1khiUzklOjH20v2nsqnhg5kCHxE1HiqHcaC6GOBcXAwblLaTb+CtPg4QCmVvhNzIG6SXN
/TAVh2ToxCNzq/FCycrfixL83Sas4/4hcKZXkySn7TSD9Y1JvKk2PAHZBVwoG/NUQiBZlID5uao8
8I1F6gZf1kPFgWQ3L8bDtljW1p0E8yj2R3vbx92jS+DRmbHT8g1Rdbwdu2R+YvRUoQxmY44Mwwzz
TWsshDIxA76ZG12fcQ/nlOZNnmcbAsviyO2LNa4hbj55STdslBHWF3WYJZ8HCk8NdzUu7wunFRGC
1/YwMT8amoD70I8dtm+nMO8IVRmjedB2uG9qR+DccQlguWzbIMfeO7Q3sorDfe+Z5Y/aKmaslH2D
4xtD6oSvalPHwyv4DmeLvFlFWMSJJCuZOjSOeNFq/uyW0o0YEYHFCydoDMW2g2WWlPSbu7QdvVtF
WzrhZQvXG2f5397Ij/+fXREQ5opu+9+3xadMJlmd/dQd+eOH/tgYffc3QPb8HoF5gRhAi93vz/aI
/RuZdc4KYXUJm0bF9K+NMfwNyQA+GzotCI/YXf/VHvF+47fZgcl4mUaD8Lz/ZGeEwf/haB+sOzZC
NG8dVSO2WRsofznacxZrGrru1jFgAsj9xCQwkojU4C7M3VWm7J2u469zHbjoXoMk/WSi1o0ckwFu
hizqbDdetgnlZO9ZEkidklB5btM5aS8lUtnHpp7xodFWuOji4TFGCIFyaOxeTLstJP1FLvCnXhr1
k1ghM221emMnzN/f2R0YVayGVmcGc1KbHfMNBpF4d1sCCDfCcxhUw8n7UWjaoIXdVPoHnNHQz09Z
76gzy95OVj1wb51fmnnRBgdviqG52k4C0DQxRuc8DoIVhdLaeDQct13JDvW045lNNn4HDrKvOFBs
faYyZ0vqcovcNvhKMyIQTK+ngMvSCHG0yLS4yls2/5HpERJpYTekeinl7q3OdDZxX3xzqHAvE0UB
6wbvjg2neCbTiYrbitljEBHikrXV07u3n5aKlVw4PSimpq3a2zjEkXbQMWgEU0/Gl6Evs+3Ya/0p
Rfm8Hn5hZ3QL0+0npCzTEPmexhG+yIVdjmkjIJ34XRICRXYQN11mg84yEIE9yi5wXkbI/2Q+AYP4
4iSU8mv76VEre73KhcW1wOJnPYaFi23unUKA4pjJT9mulIXBXs/LssHb28N4pZc79Iy2bNq41S5w
J0ZNQYq3DfNwh5/vXQDzu4/7/UumPHyucesxCe/GdwttWvEziOIL/6qtQZyJcGHaBPEmfsqdAKud
u+IhhsmhgVSmCfKNd9Nh0BQAFuoBXzJ4rWHtn0zNxK1JQ450dN5GRQDRQfnNuBz0EGK3TvHxtbpk
Ik1TmhGs1P2CS32dD88Vzj7kfWgKcmfhDREcze/pCC+9HApMJScjWH3QyuqYx4EWQ6dBWdN+KVWF
xTJB3l9xipV2vg1oJjhb0iY9ccY4oOI9lHUzuRjWQJ4NaVLD93cjfUam4UJb6N1e3XRQCcgZYhrY
MCnqJ0JQVkwF0pfVwemtbx6mBuIK9AdcQanWftq7x9Ah5OlCMyhFNtEPq3+dYBzHaHkT8SjM2yCb
vKv3V/T8FT4GfwBdSElljMdUcH1zBVJDyYJhPmIvhuuOEtNykNJyXsx5Vff87l43ZfsF/yXckI6E
yiNEHte5S3Jw/4XdpQ34fnTeu9gbMXt2IuP3JzYi68O8GuY5u3mfnSGfjaf3v5JkvzE5MiHJ6ogG
JX+s23rcZQYD3DPRPcxDyqLHwdx7is+5qKZueRjUCu1oyvUj/R3jARbB7M8DE+bLcFU+zbLh/4dz
xuE5COkB0SQCaVI07/boVU/oq5IV6p3Z4VSmNe+zri3flsXljsw9qj8oQgIMED7KoDo048TZ2bcq
DYoZaHCkyfdV2yEUjHsWT92b7xqofG6/IDAf7cjkuBpwn9YVZh8nbK+GYIya1g3mjSuMbqKUWfV/
VZ2AZpG9f0aCGl/mIWZrDKNeusWPZwHuIK548y6lG5yxj0lSFPph4i4+5Aj89wuIxcicEvduzIb+
NTdsy97QwQufyrDUD4FnVJEvJDe2kNCmYb42IEBNx+DdVYTkbZaGYLfVS17SvA1rOgNcsmk5rm2P
o0Ka+gpaFbe2VTcYdPERIwAR/WruTVauWL1e3xmrGQNqnxUE+8fEC1bqRlmus6P9IxIabjZ5jV0M
lLaSTnuBn9Q+NGWQYipgx7hbLdb3JagPgKMFTg7kAKn4REvUZ9Yo5x+OX9kwwYfsmE+B9b10/eUp
SCDq7Yl6za866WU/7E6rx9F154u2qt9lVIirMuOTpCn3lDIL2NYA4wkQDIPsMGN03jBkKum51Ip/
0/XeDCpSqXAy/YBKVfAEKDxxAXIhKrUcVcumWmL7C4opPB+IfroIEbJ1MeLEuK5oyW5dyB10yPUg
YFXFi3/lJt1ZerL64bph6uwWTmPlRs/dfCLvJDiXyri3KkPonUkTnwlaMPUWEAdW87vFsaH9m8TK
TR6ZhpM9bfuuAKFKbMmmMMb4tp4kq8nMwA9E8Xhv1fWzjbU2iQa8WcmBY5x91Ra1KT7FDPmfVEr6
Zamc29SduntUYclGJb11HyOMfah97D3lqIfgpoOvd8z8st2ZSWo+U1jqSycOHpdEeJ/HfhaHRpOj
d3BV3YQ8H23JyJduGQ++Ivc4BMnSilv0UGvSZZu6KJBSkwMYPWMm+IN5hy6sAR3jmzv0bxzPcltq
ps5D2u5KZdYmrZ1UfSU3EqMaI3E338O0HasjyUslrhTLKXcTKq0ooJ/8KOoi+JJBBkamktnmzZhT
lVem0V7AReKuVnb+VbO9X6pyHM+DML8qGXTXbb/MkLGVbj3AyPFw1XtLDvU5FA9zaDgg4nPrrrC8
4W1ytPw6A//oXvRAO/wu8xiDXA5yKZATFXXUdvKZFmt8xzA3JlqyiDeUgvpqGtB6lT0lje/J09jb
xo2UAw1xYaO+mf3qRzkoKDZLlu9idxZ3eTZMX5Arxlu6Xd4tjnz3Ro8InEgJw76yocnSnn36otcI
qUS9TUfTuHOKxuVcO6odl8vfkJWiT21f1V+zcXAYFbef4rHFFGRK/KjNtEsRyaEGNL9YIrnIVd5f
AbR3npVK8D/5BSwxK+6tHS3Q9LJPHJjhQTNej748BqMamFsj9UlNa2TVbFrtXKl0cHiHgRUJLF7l
NmnFOLD5GQAzuFXMLL2qVNAccfR/jnPH3ySlV0Ewaxy4IkOxJYq83FrtxH0gWmcH4T5kpwhhtiUO
rZraYwvf47UwsWuJ1r5DuejdAq0YHhqJkGcjazJl+jxFBbToveEP03UjC47gY/LJMzvrspYGoilb
Q0AHJL4PCcl7wH4/odKi/NgLdBBbDZ2o37UmMarj4Lkdh9k0va20tPeo5eZHU8rpcu5t87Mh+cHJ
S5prVqDpmOk+67dDFd7Zgzkd2npELjUIp720q6W7T92qnNCM9Qq52NoUTlVjnUYiC++yzDO3MvYu
AvKBrhri8D6ZPWmhG7can9Ixfc7Rf5J+aQUUFHpKPk1tyPyn1wM7bm+fPFx0R20mYkNEdrD3Ro/P
YZC5QnpYmSHaX3/05H7mHM2TgBUwajnr7x3ydptLFCCYb/2qPLTKCZ7akDc+tVo+xHnj7/GixvmO
7VAdA7rqWwLPCjQaECUwrd4zL6lBY+WpQ0pQ0l82zszAw0zn8VJLB4y5ENre8zP62q90Cs6E9eY7
ZHnvLcCuuMsKz12ORGaWr60PbyaUIdKgtbSi2SY35TR3G+aoVROVVe7tMqNrd3k9QZsdgxGAtCW2
8VwO0Tx1DCIASl7ixp7OSx+09if2NxKd6tJOgbqEurrF/QX9pHCb+7HSiXdfhoa9RK4RStjoOWUB
cBsGQ8JM9iEsFx4gk1qw8KziBjDDQzKV+qouMByDugt1lPdBfNdTBlwLaCCsvLOdPPv4pZvtYufU
WE74JRmt5n6JVY54MEn3eJznK7d33TNxS7iiw64ztmPjktfYlMOltrr5EAAsviVItn9MVXXC/3rZ
Bljcu1B0NxW+UVr9vknroZMni+AMmHPBE4Wa2vu93E6+dO7yaS6JyZ2gVe1zXSXlqSegxNpn4bIw
dXBkm0cNOpackZ+33I+22X7ThKoyigxp0iDDq4Cn1PAuatKpropRGtXrPOn+lpjR5cZIGczukhYt
0LdgaB/bca4LfyNJWo/FoTJY3C5ijfAwtf37xio/t2TapJcIcPz4yq7NF9pr7bV2KeSygHvhosCk
zeeczxhhizz1YeBD2vycVXwl1UYSunK7hr7s3QwzHy1Ft1WfwcM1kUPaU+LfJqLtbtn9aEmxg6rj
X07y/2akvx58/2XSYKSPPgFgdRAELoxP/yNPvqBYir3ebI7uvKrp3SynTBwt0BW/MC2sEoS/vVCI
TYsuOS6pj5FvgaSY7yC3HN9JXJxTkYQOdUetxsfgvPTZimtKGk09Sqztr7wof391JBirIwWWaWij
Lfj5/N8as+Wbs26ODGDFo6dUsM0AclJKoB1kSM+regNz5+h3iNE/X2PrZ7/GepHJQhO43XAS2GQJ
rX/dX7oPxLsYsPFlc/xdrj2pBDibX9BARMrFCcqxPN78tPLvhgQN+IYMr5EzQJ345SqEth7/+Q/6
m7bCtKFfhFAmPCQtzse/JwnVOIuEwwxiJog2Nu0HN0vF4wKq8nsorV9Zy9y/KStwM1gB7hxUFQ71
Ie2hv16AMoUP45p9c6wrCa0w5bwGFsJ9KRiDpVvRjK9piSPtnEzBaF9I6dnIDHtSYqrr3M1LtjtW
8x0hW1ADQVhBGkL82J4kvqCnKUVvPhUNd5Kz1DG1euX1383EtEO6OEw0HgSqRbnrNLTBbBzbL0ML
G61xJzU89Fbo9vtlsCyCT2u8J87XhUNkEcWB5jSfxPDgMjvhAFqwTTyiE4SsiUzrO+tE/RYsU/1g
hwnHuKHr+f53JLpZkWp6lXAgNtYN0+RUbRnxHZi2sd8j04CMhXqXRF++Ud44TWt5BwCMKNh70gy+
vDdA3qk67x/6f6Vfv5B+Cd/75/bmfdp8//F/Lvrypf7+V2bMHz/4Z4vT+o3N8d1kGhI291cnrG8h
DlvdQlhzPJjU/9PgxOzKT7De0cxfNWOC//TH5A+aDOxn3I7YyPjn/2DsZ787rP66tLJ4M4RYLVg4
1Ezb//B0dZIJfRWGzZHIGYq9OW0eUMIMbGMBCCWSrp5VNa0ojjaDAdI+lxzyL0zln3nwiISplhQY
RO9Udwz169tyNJ9cOjcZeEISBRuHtXIZ4fZJCw2xMxs+getoRgJO8e2KDRDaus21IlHcrq49VV7b
hjrEQxtvB+mG0UhMCMXOGGwmmb2N5pidK65j1KFU3XDE68ABBMtGu/T1M3O5bELz1rN64rakemm0
0kCsyEd25mLDofitL0FXVBwsdn4TnH1bHxS0JiLD67ewqK8V4I9YuykqnXHviOJ6nJdbJ5/BwvJd
nI8hxWQvczs026ZbXt2hODGmf2Xe9tzNPU0WQF2ySu3PceccMxl4m1VKtCPBZoG/EoDVsp+LqXzx
Eavv4Tvdm9Rh6xVAeRCQ5l2+5asAt6f5uoftvOa/k+I2JgyHJjU9Jra6ByuOIkp4yYUsw1cVF+HB
StdUuxnFqGgulpUNaihEUDTOI8eF4JuOgpRg/eil871qnefULk6JLgGD5S/N4p791F53MAdcDG9o
zddphvmWxDB/P9vDvgvbDiFqcVocjjNrqCmqU1oZouFCiVTGRGBLjA1rPFsGcSsaV5Du0GYz3Lr1
WqbVC9penCOQ/zYDsdsIpThGkM21QxDMWMa8HYQ6gOW8tIKELuhkXrZ+Y0RTkb7ZIP9pAGfXRaEv
BR/OMUDnvckz3iE19RPERKi1ZKdss9BG5NTzQoyK820aOssVgMFTMy9P0oF/l7r6sTLdrZ5r/CCp
HLZxAwpqQvlRCv0aNMslczN6e6nMzkVHrIw2vwWdfROqzIogUewZSB4XF0pip4lu70geytqBG9U+
oqEnMcokjbcYJrL2xmUlV6KPUXyeIZ2mU+hzJ4CbHjadqNDV9OZTnVivoc1xkSMUJgWqUaA3j2hw
oCqWbxXMJSLOYOJRkz/aoJ43WBEI6xMNfWuPebllZRm9Fa67VXuMm53nBhTZHj3kucV7t8ea+2jz
Pjep9rkVbQ9yj5yP2ChwJFr63Aqj/ZoDRo18mmdbacTTnY3YGBpKEkczhL4Ijfd07Px5OnXseRd9
5QUXtNeNmyKdy123tNVNbbTz3kzL6VSlXR8Jo7RfB6v/Ok/Su7KCok24a5p1SMBooCVXversrV8s
6iX2G7gOHIUBRDFSrp8oZ58qbSBbWZweFnUlMgaA8dmpi6/SRuldaGgl6KGjxc627TCzMWN3sbYS
nSzKVS2TEyxpotj87gyY9rZunGanDOepMWj49DS9dtMIS7me5WtdC4btRp7usAJuIKIwA8V4t6+y
atwi+ItvrcElDL3m9l9y8dpY+Jz6jiCxdDIjTwtrT/uSzw29Jyl53Ia07UwOyU5wQ7U8EvDOTUeL
/tk3vPMoOnURT/KNNt2l4/0qPPVjUQb1XqAURkUkPDTDH03wWe45I2mtzRE7RLGxx25Yi5AzOKfr
JbZ+Ffb8sSJbXy1kQyO72XSwwX+wbYYO3TVv9usjUZbNlmHtCYEjOVs2C/o/F5sfS29eiUjLYBUn
m0TgffQHK9/Xdh63NEaG4iWMWQ3X5Ti31BzZqBubC74y9//8mh+EMBxneM2ADRxZDclnH0PPErum
VQAr5TgPbrpz++mxIYk0Mgg+RuZW0stj2S+XS9mzuv3zS9t/GzWur43HjdMUMYN/O1FRvitOe0F9
xEJib/MGrtccE7XJcnGZN3lxNEP9qno97Qs1Tad86nluAaMB4SYJFQFAUi+XyIvZdW33GIZY5gm3
24lAXSosGKgvxApI515t8mu6RvvKne45CD+ZaEnpMjHvC0oj0k2D3I622JfEdb0IGu68/ed3+m9u
IZIaTeGCZMEeLT7cQqLMACULpz6mot87jXlLM+a2WmT3iyv6LvX+ub4JeSF7La0CXNEf1e2hsgLN
f+ReDRH7MRC8na3M2Zkli3Dthfm2D+iFJKuCeppv4S1Wd+l6mHWW5K2bWJfXUoVQ5RUvry8To49x
so6PRuid4Ugd0oDl3sU5GCXJainUQj8nrpgPSFhayErkT46m7O/rQj9pybY/isw5DVmAA84b8NDW
2VucEXdag5NmuhY0B23kb6Tirn17DhfEF+rWPqYz4WfwsiJ4qaBcW03AJed9MS63/tzZdP343WFg
fJWrJ89n3vqLC/lvVhhMAgGADZOwOvS4P5/CFh9NqmPY9ZF+yXs5oVnZ3FYwLVL28Z9vjo99hfUJ
dE32KfS8sBY/chkkHD/mgXN9dIvpnijHU9X8asF87018uC98zxIOHnSLTLyPQ/0sZcYBorw+NuHU
7vtMi8iJl9d1pc8WMgkHGZ+QamKKEGcVh+nOr8uToePPaJm+BR79TbRqchOUuX2ccjbxFAH6hniV
a8tK3hhz2TvkSsWxtD2gwS5jndFc+qsy83ZoxT+RU8w8uQ+YYaNfjcCv4wu0bBxVIUl0QuIOt0Ok
82C1Bqbl2ZtLnMsGOvX1pIsTmt05CrycAtVSVL8WYap1CoLEHO6bWqQ7x15+YdZfxY4/9WD4UPgs
QsYarMPIF8XPNwCW81VWXdVHq+SgMAFsj7JhpII3Ct5zyhWA3pxvyzk4V65Hfngvzc0CQZIJ7FMQ
F6jJvXrcq3hBV+RZzXZkbEL7z94i5OCIPHnneES5NsbuOQ1FDrKRlahtyAD38/nJFOoVbe0m87MH
bVMdkvSRRdLQhyI1n2YKsU0bp+3BLtUhbNV9gspnk0vuT6dl4es93K2MLPItvIDwINzlKWyxhfzz
jftvHhL2jPV/RLZxevtwjRSyP6YVU31UQY3inOOHr/hzHGRscZv84hOx/tYa4iNBrWmzrFnoRv/2
THaOPQNSGuujFMgk3iXKEIlPmByOocXnszTckgtCMvQiLFN5TgWYlNfMXiDVNXTRm5qQbAwb0Onw
VmwyTLg0a4NvfWFdGVNwQ/RGD+SAal/XZEfjUX+FcnevyxnX47oZc5sldvESq7VKVSLKF/MajcI2
142IKFd3tI+D/cBH+n68XBxtbzOXbwxlcfKMgZ9o1QTCeCQsdBnSCw0e4/0QRDxIs2X00ZzqUT1m
AwfJYMWt4SdRG3dRj3JITOCDIRrM6RERxm1nZCfbplqz/HGb1cW8Xb8wKv4lntYbsh2nveUwb18f
o16758ZXj16yHiAw2fI8QX4pO6olFNzXukPv5rd8tySnGjLhmleM9Dx09aschq0aucBIGq7p8IDd
0ZTiTuk8Ex9xj3zGi+wGXXtdnQxIgEtF1rZMeICHoTxxKD5UMTsL02NuTJ4OTw3XmAu/pr2qT4Xl
nhEzbG0h52g9GOnV7aM6CY+Cyr4cnGchkbz/4s79N483tQ4DVrK1uaPMD23GcrbzjuZydYTn/Fr3
031vsu9B8eN4x2O91l/vR+1mCK39EFLpvT/zNfnX4EYVmTv8WFfZ22Ko811YhNtgkra/LYeki3CD
/T/2zm03biTL2q8ymHsWgqcI8mIuJknmSUpJKUu27BvCkss8n898+v9jVhuo7p7u/vu+gYKBgp1K
ZZKMiL33Wt8qA3celmOudwxR4N80uwjcX1Pm0QeUDvcC8AWTecS+CFoDuD9rubcqvBkaa0zaL59H
k+OWaE18NiIZvDnqkTs4nKwjCkP2w9isuCARx2yVDi/9yAraGv1z61CSgum/YNJ4tuxNL4S0N0ja
zPSbab0jkYd4kAJclK6tsPmWD+I06n1b98+K6uCYJZJwEeqnvB9eTARY22m+V7/21/902P5Fh40m
Fh3vf6wf/N82+15237s/N9f+eM0vd6X7GycFKUhisv6mt+Zav0kdHI4kN+umH+Sg8ctdiUaQlwCx
Yp3mft8ab7909eZvKOARfnAKoaZCkfjvdNjsDS/9540T2iH/mZu2HzgNv+l22vlTAx+cCJNOgwQI
O3ccb7C18aEt+/GwhvF8ziPaCPh9qPUrosh+kEeCHoJ4NjTp9JWfq2oQu6Grte+Y8MUlY17wQKPa
fJEoc0mVqmXpR52lHijAu+clHZMXSKv5IUPIdSoiqX+rSF1BQoDmj9ox6JeuecdYlB5nbdNzJek0
t7tuqNcPUbMIJmEkDXxpmfGp7ZLs7JZ5eRcqMz8MFFygF8pLZVOWu3lY+FpaxIzauulUJgUCNBrr
pm9okToDPq6BvOfzY1U7zE9zx71fumgkXIbK+Tprg/ugkkxc9CURl8VcANiQTNDsUYrkB70yojfd
TdwHGJFP+iyHC9iql1XQm9BlSNneWK6GB7A2f5KYjL+/WOiK6WNp0H9r+yd3IaSLPBQzQJ0FDrpF
an2wc1H/mBD5783W3M5S6KxgTWWvjZXSAZhzKz0wLk6Pbret79ZU+EItutcTIfGlcpLwsR/i6dpX
yfrhLtPyVraDeUUAsxzNJW0fpJnOV1vy5QjDSPZNCBFAzLJ5L8xh9kfmMft6zMeD0jM+RoTf28rK
nE1iArxJbs0PzTW3MxSlrVvfGSVHw5BE4yHJxS4TVel3dngBllWcNEc75biCfAIZ8PyNbXNomtH+
GbkogjqGuWAQ2GQgEYaEgMbFk76qFXm8lmbneCFIPTDXdLirrSX9HBHg8lU1sggwU9RnZIbTp3qc
mhc3tJLLKqS40KGbiXtpzeRL2FvdfTqI/JNVWfWhoB8BxxqQ7dGec/Q/FDHmlUlQcokiC8KEUsxb
cQKqZ2LMoTCVfcPwrDPHezkl4skF+nomUl2GnBys/GOY5/ohlDI/LvNg3skeH2FRy+Tr4Kjkralj
/aEkSOxaIIU7zgS+PAhtNO+MyWY4N1TRY29V3Uu6mkSFFV1+KrThRDDqRM1W2s6D0dQGcbA6UNrI
yk6JjiYHhLQF0jbr8v1kxfZjXk93Rjyh1kBfeNREHwxx1H+PBwc//jJnemDUofremNPvdkMSRgS6
Y1cshU2sU2jtlQP8n9aI8dm0so9lMlECa5FlfFVO+VKN5vq56+rlsCLguUJlRMdFg0s721oncACg
aX6IRzoD3qTJ5nsXtukTvPOGMBzaBh9J6MSHcuRF0Zrkr04iCm80QVKRHlLcpREXcYLJfJJDLn3H
Aj2rzK5/Z7ZJpdJn+gu5xieUSvIMXPpQgk0iYQKoLAe/NLuaup4/22F+lMvUn2W4licrK5CN1OzA
A4vl175yk5OyixAkq9n4qsP0yTktfaY9Yf2+wuT1TMbU3hpz1IFJkr0poc2vqqy1aw07hgC+Gn5B
G2eG30i9ftLaeT/Rfrtr8NWmnuvu7T4tDmE3iQuH3/zQ5NcxDMc3LaQMyKSpX1MRmSSNOAIuDYFM
D6UY2w+zX/hNLOFPYlaHSp/mYMyRuOLeMJ23ngqZOD+x5ohR1VIF0Imix7WrsoM2Q6ncLYutgPYi
qsFsPCH9C5dggBiEB6ka6My77vgKoWGDaZMAgkMoaljmOmbu1BDiDvsMRKEyFIGugwAHJObsogg7
RZK7GBRlg/G1LaWXa8kX3KPilItOBBhTGijmWfWeS1rfYRW7V7tw5Knr7LnYbRGN12QDpCtVejYG
qu8yVfMhFYjHRYdWxasLUzyMTiU8JyxWxIZOLoPCJAbHZdd4WK04/oJDOrkv1vGbu/byyI64km7X
jQ+IlgBljFN636Wy9PpFc+9JYGmfoDQ3l1RMzWctTPIHJsx1AGcl2utuFfmrgfzM7hrzSzYVxlHC
XQna0Kn28Zwav68qQntiu/V3y2y2zWVYGTcUefKKiBxJH25Zd2+mbnQYGBsFaOonhGph/EQnm0Uc
N91ujJr5kxj46svYXv1l6eugA13O2RcrFxTNKn40VTpxo+HooaBDhlQLtK2k9gwHBCL9KXPX+jUn
4Sgh7zXIlnB9ykbTCupxxPa9gPJPmVGU1s6O5r1Ehfmgo708u3qUfZsaI/MnhvC7ERnDhf7pfNcB
QD4q2kgICpvW/ZpJmfhFOYm3PMTvz8oUw903/MWQ9tM6pNoHcHRxrntH2xeR6h71hEwb29JCWvNR
d82XyXmNJifc66IRn2KI7LydCjVvWTS5N2PVPrRL814ivvsQ68DyP7T9ipp8tqLDbE46zT2suXDa
78gN2Sq7sk3mhpJusgsNltgg6J1nibhu9iP2/jSNEHxyEGGC13CuLk23vzZRkx8rdOvkUdcKWtza
kWOFcdZpfrptnZ3GPGYqPk/afWIgE3XK4gl4WHbs7eGr3dpoYqoOKT+Ct+E96+VXVADfRTj8BEn2
1SH9r9RXhjnrROFkNsWpLdUStE2CQjyqz3WsFOikzCBwaCo/6InOX9qQF46l1LjVk6WnQqwjPsVw
rpuuGfsD5/ZmlReOWmWE0MPI4IslRtVbARlY8f1MtoY/TPPgPJElvMi3ToY/h2QxHUxfExcOu64B
FAEIBQQ2cRgWTj2HIq6rS1I3UKFqFlDOXu7o63OYIUmCu38maBIu4JQaPoe87I601PI8tIn6ai92
8w0hcpQ+heRS3iHg0tsXplhxSKwkgnNY3d20os+Oejv94QA1117thhEWFARcFnAhkozAPpWYfqmJ
5dC6VbkfZfcFdzfanjnKfYF5kMGQ9WXWjOkok1p5S9FDSavKee/miuMkMvukte7BvsFDEKT77DKY
b581BWmDs8hrucZ5EKOMojZ2tU/AxaJ71PY6Oj99ecAMh/SWq3lee9oycTJ9tzJ3Obeu1HYd2ueD
Xs7Lrhy24xYouWHHTLq9S5JTFu6h8yz+SBLI0clNC74YeuGO3jYCVuvKYLjz00aLTitmkhNROeG5
ZaBz7kV0L3ViG4TSazTukqiLSDXfBlPmiFXt5ZA0Y7JPe+ZlWiSwy8CkC6bQquddFZNE0YcwyQDX
O8dB1NDwcgNWIdlCP5lPcoyuM/JO8ds4pv4DVp10vnRiKFX3MVgKxOors1lOHB6QvwQx1600+U8R
9y+KOLxbW8PgH1dxX37v+v/6P61gf7zyl05C/aawa0kmouB4Kcv4ob+sYMZv0jbA6Ejd1f8ih/hL
LWeJ36QpdKEcRv+mIzcNw69aTv3GDAdCsgIxahmudP+dWk46f9clMSUrvQWqFmUGv+XWAPxTLRct
FlaIFDAeFOjhrnJKAgLpjHZ3JpQIP7d6HvdsMPVn9EcYZKJ8J7gZ/XxTiUIiA5QW0uTct73bfiKh
F/uxmRPG6PT5IXY10mxuwlOU481+uMlR502Zin6A4JEhHcJNlGlNsB7wmtnUD7b0R3fJfHvTuXL+
PJcOlR+crqgF8uBEr3oJ8Gw32u2WEJC+udP0GSstrT8r7JbXtR8BgqJJ2iejJvx+k9yCPtTPHBTZ
kedNkktMHurcVQtJBliaBFfRike4FQohb6Vdk7BOwYPM6XRskZtf1mnhTLuJgNdNDgwyenkJ68Xc
49yInwy3o9Ry1+2T41fpIAqymSabxJi5Jk31eFqKT1Fs23scZTVKUv5aCQTKpL69Vqi4d5GDeNmx
Fhgp6Fu1RlR+hGQbw2ti9Z8yLBhPYaWb1/Cmhq5uyuhqGfjEuaOtvjuELtPe0eIcj5xaIpf3+Z0z
n5Oy5VmVS7SMphT2BPPLkGX1kaPJvdpE2voQP0aotgipW4RFuskYMzOwKRVoYq3WfY/qmX5eKXvG
bGsPmbY/ulPZv1odBNFdnax6oI1GC1VuQUXedqXN9bCH+9Uxjj1acyKDbH/Y5OdZ2H8Oy0Wc3al9
XTICddxFlN/aKV3Oeoyitlic2GfSE0QMqf08jaLnzipNfPKqyi9OWjD/vqnh3byI1a4uKvkYDZ18
ykwt9LVYjV85uxjXhTlgYEdyvl/W+vf+prmHlCqDsEmipxXh+3kmra1NiUNiXDrf55twn5wFbMQl
ujQmFm9RV3FAhU96im+a/+mm/59vXoA2irpvHCaHnwkYzitOB5s6pTE/ZZJWPAC7AdFv10ivHwu+
sqku2gsGrG8QAoYHDYFCYEzid8Dm32ikV51X2GVzGjfzQr7ZGKAEEZ9StAsmaAK3X6AeVl46hjly
vxAXxHpzRIibOyKUVZkDqZumbzjiKuHrCybooNOaDnTNZrFYucqBrXpkTzRAxXXczBjZZsuoN3Sm
N+tLeB1xbeCf/7p27lfRYk9HKoijUxT10WWDhhmo0C9jx+aOQXcuv9iYQshm+V0Qurns0s0x0m7e
ETsf6bDHOdk8JU4bZCfSYEjJ2sFPwFxpdvFD1yR3jnSn06wToLOrpBWDRY2Iybh0N/eKE6J58Ia2
/lrc3C3tZnRpRbdPN+vLuJlg2s0Os4ybMWazyAx4ZZCix6fs5p8xVsMpjkOoF9Q+w5LeoeRPsyDp
MCfuZlHZl842w0CZVXwiR1YPmpqDglSa5us1e6vVFou969e7UijtGEEKPWQOeulQGhB5QkIjXbFM
e6AGBErPefYGQRFcS9pMd06i9lbZF8xtFh1JdWdlAEtT+0qU0RbxlWHom8CqOGNmAZ4omnOamatP
RYa/nKmgN+pFdJlGe+IbSNf1BYWwfbKxKV6wvGifpwjvR874NYv8Iu/oRyVRRfykZhb7tL6Ty/yG
oEj6VdsZJzJd1sDmX93ltqguem42CbZ1jeZYUzUGgfODbapTJkdcBKptrqbbmi/MZGJPSkp+Dn/x
5C31uhxC9LqKBlmWfV1Td+AIraY7nMzpjgUCayx293gcYqRpym33W9AAcMPxAZDv8pPj48jfKrWP
7cgiyCipEZKEYC5D2QByjd1sF8tS9ytDDKewWHKCocP2PsmHb9v0bD/1+Xgs14aWRx5WdLT7epqk
VxRJ/0EggElwkaW6e2uz2o+R/ilS0jmaWiHuErFp3EonPeQKIBtS9mNXk2Gqs8EG5EqRI0RE+tFo
S3ESi9K9kNSek5ysOZAg0GnWTAKybQtkqBbG/aB0924uVYKHKX8O5cpUuovUYaphrYKkSLaj+VDh
8HEwjNWsvajvct81jQbnv14wNKXx4YvZfGr1ytOq2Vg8m0f0EtdR8pCI2fGynIkNqjLXpyWpn5e+
CffT0NzNRdEEYp072qntzMi8ngKSwjAWmjAg18GKT+3qvjMZoH9jtz/I8x6CIZvei8KCvAnhOhgG
thu9hYDbdtFxmPD8FSEYVT187rvSfDCJSKP0Ge0rgrli32rdQ7Skz4PotOsUp08orpwzZ32DpzF/
iFSx7meZuWyNIEYF0O1O7m0qLlR/blTu7HHovRZj66uVkXIN/2iynpshieSZuO5luCydiKoAn6/e
7oxkNnEVC3MjwVoI6kQgS2cVQRy69fqpSISrvU2dMS9+gtVwZeKGioAeUcmclQ5WnluBQrW8HGs7
+WSrVqb+Oq4cZbostx7GDPOxh7+aEpPSsYKDizVvqfTZ3lFpN49GZWixX6ft+sWsh/lLUYn5rPpU
vxuasjs0izaByyYmg/yeJRvPQmYTSz/ZfvsZwfVxKcQa6AUrppNp8vtCtBmJnUN6xsc3mHg+VfHs
rANjf1EQjmXaASqBCfWdE/1ojEE7dP1kP3WL0+wnp0GG1fYpkLaS5TVrTL4g1BqQVkUUfbaWEJ5J
WvQ7KlomTy6weZSZqzX6AiXfbsJ6Ou3Y3RhK09A071pCwOKgN9pa70i+GlyHFvko9nbH3rZzFuD5
sIcHfMTw2M8gN0uaIk43Dqebt4ckPe2kNY3k4AdvhVg9cECPuq3J3gNS2ySQS8hxrxx3bf3YHCSQ
sEZ87aAA6/6civTqxG3zTCT7BO1GLolXMQw5dEkIeo4EluMKQQ9rUzYTXieWVqEPb5f+CyAM4rs6
FyxI6mySWS7+GyI5ErQ6+2D24dDsEoA6y2blMXk9RI+uMkccydo07rSkiwJz1ooHa9miYTkBNblX
MG45WYklvoRhnHpRLcLYiwbTIXN2sUp8uVkvvIRp6BuL90q6QCdR4Orv1tZOWBTBrTuuKA6WHAA4
+a0IAOG7DOmyawfb8Ho0ELVnyRgRYdPhjYMPPgSIri61PdV7dyr6+2lQAGhAJG9dC8e+dnk7ZEEH
qP1goV8KXC7a2RnoD/g5IJgfMy3Sby5n7ldjkeoutGIab8kyqvsO8Lj0w4gIgAsyUNMzFvXWF2b3
ZQlxTcjItva5Bk3dABx9QoOyth5zEvnVrC1iMjFO4QAwFetAbrgX2I3L7wZAEa8n4Ow762lyTiZN
J5jXkm/jiBDVy2C7hHsNnJfj03UyaAQUeM3K3nzG/ASwWdJvqRaVBZmVuGRsFUMA9GwkqXicHhiX
TM8duO9dWk54qgAX7aqsjr8vzUSzx6gqa68nVU/2tF4jhKQP5BUVla8Z9oSaATjfG6NQPwwYsfcw
D9YHB73mp3oi4MVjPU+R+erdi1uK/C3S4S9iR0xd5LJReEZ+I86iDpu94n69E00kryYdAg8Oe3Uy
VsEbrDatJmXVwVIqnbO/kIFthxi38cjCK8uLcj/J2j6kuVaeZoEzsXbz6QW0trnXaEv1dZM+JhF0
5nRzpqUKjxqLxIiQAJsi5GyDAwsrnwkEw4s3f1u2Od2Wm+kt2/xv1eaEy9rNE5dwRoFIRYzS5piL
b+Y5dfPRbY66sa+mH/Jms6s3x914M99Nmw/vP/X//w8FBoPCJgj7x/X/HTCZ4SNb/mqK+8eLfo1x
9d/QF2FnANjKkIzC+1fh7/5mK4xGm8BVOba+2a9+DXFdfBAoUcX/yYCxtgEu02UMUGJ71b9hk7hF
c/2VWgwoGqsdBBo6keC6/0b9Bhombp01jM4cAPrYM01dXfGQr3sgZj0NKxDOo3iHYzaf6say2FJY
4p8p5fpjq4rxYDZ6cxA92Zven77Gpz9+hf8qh+KpSkCM/c9/0wL56/EyEzY+nI1JzGDMjaLyb4Qb
M0kILA3MDdRo19Wj62bi0VklnPlUC21kGkP1KdEtzULzENJMJIlUq0dKqZml+QfISP3a6bbTtEGN
21p9WWsteljihj3cijv9axHHPQttPtbrfgVL6vi5nRoCx6XtdJpvyV5zjhOSIt8SWdnHvo57Ppv9
il2gfY2BaG0euYKWvUs0/bMTdiRhcwalBCaS1j077aBv0b1pMLfuS+MMMaB5d3LMp1WXA2wDDu5T
2xRUErlBZTFMKSNVzhDPVmji1Bxvrs0EpiubW2bP+n4MjTg/9xhHM/oam+MzHUwYng3m980OWrbh
5zmMtAMMsfbcRKl+GJhuf4B3ax/dwp59CbpAj6pzXcnuRd1sp+68HFQ39HfsheN51kaNw9WKUzUn
Z+1hk2Ldl/hYtQSMzi7ezK0aLlex2V3ZXSucrxwYKDhCqncx2NNFi+ierDe/rGIoG0zJiPFLrUw/
ovyxpTilLHDx2hJNAfGMo5L13nZFyswp7tD82dZKGrFI5LNAZP88JqXpcUQtnuxxVRh7zVbPLmaZ
d+Zruq2ys64lj+vaBJyJjH2zrcXLtiqXscn6vK3U+bZm17flW2/l4NHEkcG6re6zGdaBWmkCm9va
P2+7gLXtB/q2M/CtN5SpWbunuhXnSDeBxuqcfwl1Z1sJtx2m3vaaatt1mtsGlA1a/Yk8i/XB3PYn
c9up8LnIvbXtXsgHQM1sO1qOjSAwbtsc37u1p7Jh86PHG3/Pth0RldTs0XtoGV9shppt58QkO97Z
UzcE+bavWg0d8F5bUWxOickHYv+Nt50YQSZ7crttz/ltq55u2/a67eA2P8TT5lwD9e6yLbuT/h3X
S+wRQMPG30ThpSkwdzszTkjrdkLAKC2/drdzQ6hi/WSMMm39ajIXJqK9KpfDCAoJBQQdDwfIR6EM
cpGJ5+GQ6C5+HtFFQhIaai9IFoTaWVren1zM5HdubVc2kCmRn0a1tt2u0PP4PspkeQdtlW+Pzjd9
vDENGO3F+3wxbJDMTmh9FMgYJOPdqX1hEFPeuxwU+frWJrug6gr3DAtDz3CQAJJM4mxk2NwKx8MI
1i5H8+VOV0UyvX1QWSVPWd++uvG0vqtxnYNw6qwTPcVql0hopn6ta9UDK+H0FTKu0+5qRy4Cb/dK
tZohtwJbN5XTsqu6Vn0rQ+UOvt20c0oKge6MFFQ1SB59ZfxauA5SAh3URXG/RSIZO3cZx1MVgRRE
BJE3cChDJ3+0K7p7iMki45EQaUqMduTQvpbxOO+WsssfQSHVBGY7ccpBf6y0fdvp9ejX7SofJMsB
4i9CS3ZDmBefQ/zEz8lg9kA3csO8hFu+stbQ0PWVSeoynqLqRVH5wGEYoNAJRuj3knuU7s+W2kz9
1F4mAyBCYkzZa72lOztbznO0DIVPBUqATL3FQNtdln2QO0U4dHILitawXz11yZJrb1umz5YETKq0
YW4B0/SVIi5KDR1lb20Z1O1qNmfIS9PXyIlJHt+yqvWe1OqZ+OpVkxp93y3TWtzirfst6Tp2R/jX
09h+ss2KIGz8IPGV9rvxpYLD+6yWudCPHWXuk2VZNVbipc9Qlqu4+0ZpWRY7Sy9ZHdoNCw2pKPsO
sLqBpKnP46UnBZ15uT6hzWPQRmxrBqH4kbE6g2t77Hi7POrHn6zvBGVr8bRvlOy+Sc3lLSJXrPe0
nE08gWZ6ajMIL81Eojhrw3xKt5TxkfgI/uCmY53nIQfgS2WBGAbSGglcnnuLKgd+qe71W4A5OV5b
mHlHrrl7izgHBzDc9Y6Ut8t21Jz4rhCtBgHY5EOOugoAJ37Qpp78ybEwRzSz+ZmEamJ5aqWeXJPs
iYygdaPpXG5EOzMfZw2kaMjSv9r5fbQ4ISns1clVQ0F4iUa/Aas9ouayDuraSh8Wu1IHq9JqXrDO
xmPJg27tpi0M3qbX6RnGYPhFvJAI3fJH4gjtG16e5trSAr9jwG3lXlfHhM3b7vgxmsB2MpKm/JbT
/mE7l7znW1A9dylFjXXLr7duWfbLFmsPDnVktu4wtTOdBi2UzYDZ9PRuVVYwLNpi+URmu1t/XkuI
allxcMq078ugkQ1Qth79SbC4pTkj2IyM0E8xX9NWAiUJ9TFWE+o91DiHOmOEQBSRaL8m5Pd+5gjH
5Yq/I7keHzVhZc+LkJ+yOaQiSIuILDoL5ikg5di8dAleiB1OEeMRnTgB2H1cfcOB1e/7QSv8qhdc
rxA/XLXTzLT8ZtpNwc9Mxh+GXmagSrckbOLXiovTQAbqWM54irpl9aIV5fOOc5cBdh5GJX1VZWTf
gTXhIdcJ/Fp0JpdT6tbnlLx2teOp06yduWCkZrYaTqjWq6Z4nmLRPwDDXK7MpxCg56MwfdnptJPa
nE7n0HXPOOPZrMEYXmK7gmmKTs5gdE5mgE98MqHJdIqAc9mFRbY5rnafaSVxzenc0IlqUBG1q+ae
CU6etgOmbbRBkWL1W/S1t3YgO9aTk0pFSEw1yPueHorFTCEfjN2srQroSZqO942+giOdWEdSennW
hsxz0/aLAZZJuyKCKKzDwKZ/5aml4yG4B8LARRB7HlMAI56VJGVzzBgkzYT2hHHI1mpx/qpy0/k0
z6Beq0ZpUOzTRd45kGwhErlmfXAqmacXPEjQvljaC4Lonflza7jNs25O6lsT0lasJMn1eBgz7cMi
9xKnnmqIPujaGZlAVAhzF+srW0aj4uGQFLX+ZCRRzAS+TlyGF6r+Sa1qJR54CXECQJgLr6xGxtS0
UfDdDVA1+jvpLEYl/zhk/2es+y/GurTV/ulU16vK8vePPvkY+j8Xdn+87NdIV/9tA1frTGWpkgB4
MJz9S2WnTKa9NqY+0NbWZn+ntPk10sX8Dg2UsgVp7h8a3F8jXaa9FHYE/po2daHhuP9e+Im1yW//
qrRT1HSY84ntoCMl/ra0s+kTuehHxmOFHxfQZYJcYi1dJlr92yKzd4eY2F1drX1QDrPrAVvn9D0v
2dnRs9oTvfPijE525rCWXeYhvx8di6YcInGjaQHMCfZ5lQLtXQaLBRNZ2d4yC+EjguGGdxp3X7sa
elo5YMN1jWsdjsKHM40Xn+NLoDeKhRdrxw4txOilbMWeQDbkp1n3NuYuup6k2jU1dgtpp+9Sq4Wf
w7DYZToyFzDY7ake2zcdQIq32qO5S+nbBEWoPmuTeE5N/X1k3ee1OPsrnN9RTyxDRciSksZVxwe5
M0o+j6znPhBt8yb11AWgpEoIwHy8Mtr8aQU0slFTsDecU1T2fQDOk4Q4iEV0vADnpdlPI9PmnZR8
lRUddV80/FBKSpMZdvTKR+BrEM6pSLrOD1v+FfUAA57aQsIXGt1uiI3qmFLpYbJHFyMbyd9m1nVy
hj7YXpnCXiN8biB6wdj0kQtfQZ2bfcARbL1GVX51l3wMGPBwTaLVZiDT8OtPphEMDb8QxNSMlnD0
mnUuUkK1qf6q8udSNtWxMVtO6iEz4ikDfUIdGn2EuabzPbgvrkAiSplVe51ISQTFH7O3esch+3FE
jUxm7kuI+4n0FkSutZav+5okPAxCfHtmx5tOtjqhBHi53SRJsyAftahUa8V9oC8mSzXDwVa4LxMC
Zw+jC8wmYV/HhF8qSsELIgB193o6dH4VFTTi3d4Ixnq7i3r+rXDVQ9Lp0JCrzgiYWaeeDOXM18SN
BWm9ZqZqP3A//5zdjI4/xPldPiXvmAG59iv/RwbYjBxOK7HjOB1M94rXgI2CGM7gy1D1ehEcjry2
a99u17uICHccUTsCS+TzRjG3DKMuLn2DXgwyaX4WeOR4yLmrkehwjODudEAX7qrtWYiafnnNY/5X
Ouk7rRau/0wjHrlY8jDwdTHCeiGcuA+mhudEqSk8T+QjXGKUph5G+zeoiNhEFFeYEQ34Kp7G25dB
tuOItJZ/WmfFe0H2ThAK1Zxzo7MhNnLTAtAMzwsa4eeiS2vPgGJP9wHrudnX9X4tDCNoM4bH0Bn5
SsXI7xDF0A87jGgo5/V7swkTkiBWI8ioFjwUwBCCGU+gNOcuIwHCIw0luzgGD6opWAhInc5RKUZ5
wOD1J+i85DrG9sPt8TIZax6FPhjBjHoBHhahEwxKqBgLLrfFNPAcxaI8zEjTglHfHsPMqbzbtdXw
2ZOcWt6D9N2WEG4BrOwutEa+m9tdvuLC31cYbw6oQTnkFbm7p9GV+5PG7Xy7AbY7nEf8mkDHOeDA
dz135Pm2Vnc93i5zPzBO6FtuIywD2L1SPfwO/0o72jEfddV4r3LQtWOIS4sedvKOHo9LoGc/me6B
6TB5egi3gwxr9q4HZi48M1Uv7xUDvgd7tg/OlL5rUUIWmprK+zAzMhISeSKGVTBvtnlOYVjo9wuj
0b2S3GRlYZb3GvgA8MwsXwx/OKGyOOg0AJLZIjov7xDKzfwwfRo9qzNhGzJM89vW7oAzdO1pwpjp
qxIX9ZwUgiAj0hW1HDSEQm5B4cul0xTkDVix19h0ncOqU93XPYsJnYDRIwgJu9nIrzAN2xhJYWAn
/ZM/SOL8Y20y3NkIbg/tmMiR84/2ws+On+yWW6K1rSsNMdKhQs3Z2ciu2XYwzS3NjFUVlYGXVTkA
yEaU97O05odBZT9Rz/LVEF/KYJavWFKq+FnBjwTI5TJoh85PKm7na47NErjpZlWuhU8GKk1fVk1+
cMLmJ+G/O1UMNBK24L8oYT2hDZHs9bb9oC6xg3IDKXAI/FxsaIUMxoI2DQ9kqqbb0Tk6L8mMW1AD
6EjuKKkAgZFNpLiUf1Ad8vVbZuc0GyQnAhmggGImt65t+m6k1YyiIIWqzWH9xY6yHGf2VKcX6HkD
oxXBJTRFCEyCEQ5T2lQAho+rpH+KYR1ysEdTiMOixRufeguDqQBoPO49VNA1kyVwcqT2Dt+1vqp+
kA32YSVgZ2EoztlPGB/aSt6Ftq6k/FE2HvuyrfZukc1uDVatIWw3bXnmU+gKfsRW5BsABy8utE5t
n5vl1D1khGwqgPhWVxz7Ze21t4XgZC/Gi5/fhxySmUC26Ga8Zsma5MEepYF4h0QY7bkcOD7ESr78
887w1vf9m3ONhRrOlFIJSSd8syX9SaoGws9YraolmjBZEJeu8U9SOR2WIOdlaMHZ2iQbcuDnTv/n
7/t3HliFvREqBP1ojLt/AIf+9L4uCdBQQ+rhqE+3xY5n0EyyH+UEmGKus5///N3+TpC3vZuSNOct
/f+xdx5Lkhtp1n2VsdmjDHDo32w2oSMyUkXq2sBSFbRwaPjTz0Gwi6yqnp9s7rnppnUzM0MAjk/c
e65Phskvg3k1hJpFmEcHFpkLZK4E/BR/Cz59/bf39U8T8BdNAHioPzXorT6z1+G1/vyxA/jtZ753
ADa5Nz5qOxLqaQPOZf73DsCmOWDfg4bpF02n6X/h0qU7gN5AiwDn6g9NJ5mJFvpQnexDAQ2QcMa/
s9rxf2VuzI5XRoyWbmCnBs31yyWUJtREhvLlbnKm6JmIlaJaOZVJFMtIphL06ppY6EpON1kpmM7R
uVOBuzB9A73aYLgrqDlNZTwHMZvLRVGkLJx9ffgcW4cx0FxweQFTK+ZgN4WnEXPbZV8treZWRH+2
KUK/2U6mHq7r0XdYYVhuvAuoye6SlgfeiEHlKktsRFce8+qdK5vAWgZJXh8cQ08pCXi4a6w6EW8D
z2B7VV+Mksegk5s4r0Y72Q68OAbltVPtXRUH+1Kr21Phh9YBh9/XxJXac5zlPH9kgUhSjsUWMXm4
ruYGpSIF7xohDfbYsbntEWDYGiHeRcA7NSJxy72eblg5RSSbmxqSHbZheph+q2ozZr7gQ8oqdFon
CBlqIyT4Iqn461Evbh1znN387WVbUgh0giLD8Ig/6C6NAJ0Muc13g1TGceQhgIAAuQEUk/k/8iMY
gqPlVc8oLMVSGe1I0lj4lQJ7P9s5FrMHDQnIV2lT+7lleTcmmnohhVlfVWZEGIBXdQz/KeoYdyy5
BO/Zb6wDl6CYNHDmlyAZ5PGrfWaBW1e5+rWZatqG5BYitho/e0RPaj0ao0lNNFf+bAPMjYNDBH9b
KwH/5t/wEN/ojqV2gaUdWmuSr6WFPaCCp7SI4oCoa7PK1gNl4E022LvAU96CcbG8nvqofrZS795p
4hKGNN5vo5mQzAepu1ZsUHe+dLx1nXkPGas6iTNseAgtVpNWjneUEqUh1NEPundNl3WxdKVu3rbw
ea4IakBkwoh6pDmJpFpDXL8zAUGtzZq4HEiK5qnJWiJYvICsSDNylsEsTkviPl5Fmdaj6Rmlv62l
iTskrAyDAoGRXML2cNF6pGRcCWPsLkKcS3AesM0/uNYQX1i5o3+1eOOrhijKZY7MNWY2nJblxvDq
oMZVOukXwyTtdl8mOml2NpKnb1phK23r1ejbvk2+O1xmgjRzADeUqhmmCbKmshAPVGLcnR8p/xz0
f3HQw6z40x0+vsy2jt/b/yq//RcU3C5/+znV5bef/37oO194HDvo9b3fpj5/LPRdNPnGTJLRTfO3
c//3sY/pfcHF7c+Le6JwcdVTXHxX8ntfII+Ygv/Tsd2/G+oyPz5+qo5oy+2ZK2rDNGAuNb/zH6uj
ibmxgX9U36XjHDf1jfjR63EK9onnrYqh2CGiO5Dkt+ZGejZSTjaz+Ys6aR6l/dtLoDojppb3jIrh
l8V9ac/CUS/Ud2U96VeB9Tz51bHp03WRk83IwFpndbHygRMiXQ8uqypMti7IpPUgXixmCyqiodOI
a1XaIi6hbKANrVzjSs4cKMvuF5TTK61HI6hX7xaWwrik+y7g1KVfE2YB8z9OFvna8fTQqJKRK0Qt
bT3Z/s4q2RyRgOAcaXGLaaH0lmJZqxvTXOkpKU5m8Th5MBW5JnbglRYwFReE8V6EHTPwOFG3VttU
wHGYyXhkb9sJxXtrNusmPWIquuXk6dhnzkIzv711/BfD1NaoQ1/xXDKdSsiBQHBO4Ucaow81OwIM
nq16BsWov06jRt6bHOp12uQARqqvPK/0LaPwm7BxgYMVbwpQSJukSwlRcusoXsYAeQNyc/Gej5a+
TROyJSZ9eC+scBU6XXPE6YBqTocF6TT8MbWJWfSEeRL+M0r+j3KiZoCb9UNp/28h2tvPkqCon2Ki
/vUz3wVC+pe5RvPxTgqoqD95g+wveNmBJLtA22aDDrfSd4kQ5873E0T/wlrMovGdgXIzp+FvlI2c
Pb/evnMlyy/THcRJqLTnzuTHPkeUbNhLL9uZXvgypNG4aJu0RAutP5NDeFfjvyv0Tj57ufFMYhnk
L3cCGt8fkOh7a6VJsTfhFoCW9aGDskHd+12asWbVUaxqEk9u79ffJtA1qzJyGXN4jX7Uwqz6Sj2r
nzSBwUDxpF1BPFLLyovjTaAV8AJC90RV6t0MKqbUafOLYogHflvHDTBIieNBYFYdrPqgt/VS9vn1
1AiiAFoLRFA27uvGVbd2E9gr+DjuEnRndy9iP2WTPQb7KIY2bWnG7aBMhKlt+ORYORlxA3caqPzo
stVjA9sPrwm6VnzD6Lpeo3+VN57prq04e+wwFHYm2YCTdGxGIv0rIlwmvmY/rGpcfm8xxelFOliK
claVM0nW2dpYwvFN1AjIi2lepWXjmjrvo03A6Fsde0mI+eRIud2r6CdsxS10PD/NwTmS6ZgoQrVV
W7B4c+EVMCc85bLZtBifVKldB/Nqu9PkuKtMH56WWxonHyzlc4uk6okqcpOjhKDQzE8pzDLU9oiW
FomHzHUZgJap2bcNQPbgQkqyU547Vca3qUkWldloLcu8AlxMFbKBZ9IQ3NHK2hfovJW70HKbVKDW
kcwIqviqLrPhOfAFIG0Szh/H3ExRiJbdwISGzJioB8nbDMx8ZZd5t+4AggmKP+rVTPT2rjW96sWN
EyBa7H+zxyItmHOTYrDVyZWAoqlQlSgjIw8o1Kv66ErhrZBOkscR+6IjtbeDU9SIqqAzCEixxSVT
HKSmqIelVzAairOUJEmjJFacJwLRQfSOG0Hwy1dXkJG0QlVFXJeIiaEiD+jOM4N8PeZxeQfywriC
ngPwjmXrEfhF8rWqAvKY4CITikuwk7HJE3AXTOJA9Nk9k9425dHXhRgMiI/g+2NPvTNJlIHgj6xr
VUuCuahuM+hfk/5Wd66510yzQ6lMIbML65J/By3IDR8gMNlxIjqKssC47wnyOTAKI9iIbOZupRfh
dAP5NXu0seikO7vpefNyCqcTeiZe4yxwP5GmW140PLXTpYnehQi0jF9I8xFJghkIBp56Iu3HNq9e
Iu6/bYwjEfc/PtVVMMakKrkRKceVUcRXaISbj1iqHk+ZWX2SDDXeBF1ZXZ9fWRIklbfpO4Nfnwnh
3oaz0iHGpAtVKoi8W2vkGrTmEGDMXVj+cFHdN4k1LInNdmg+5zfemvl0mjq7fXBxQ3zLsjmX0u45
RFaeWU5r3W96cpGs5Ov5SqPB5K+p0Ceb1EA+dBGPYHHx3JfXQ+VHRHKECQn1SmaPlj+IJ7C2cUlg
suXe4gS39mUajCeggyVTVBonwbrW2lU4BTddZxUHJu5zUhqT0w3hX+1H60Yx5AZMabCvpwvAqeLE
ft87DVLL1xFXJHZ03w6++oKmFld7FNNzEnUPlIy/6BKrsMnCSLsrlQSkgwjpDju7vyUqwl+fv618
IA45DieSuJo0KNolIhlvWVLeMSq27KMhGyiYrCLYwzshv74bpnDpZuiREGnAkvWwlBGnuhSyjNGB
q6umiK56pgCd1tz3ktie3i6/FrGHzxIgre9dira71ofwBjws3X4b7fKk/mYP/oWPEnHRgtkthHvC
Grkx+2iL9v0xrBskCDhZjg5ZKfigbEoabSGqidgeUZSnludYtxBmiQ87NpyTVSUPjZEYVw4S5lVq
eOHKcSvUHG5hwXGbrmIib4cRO0VQHszCnRm22nhtjCLZeCUGFYQgTrR1ynSO+sIDObEHWbhk8+z6
nka29VIZrbTa+CjCcdlL8SkJjrmAtFddJKpr1oXIjb0p7PfaaHcEHt4SnYhHru/M61kT96KF4rnR
vHecPSAsiibfZLg0sSuSGajlOL+SRmUwA9FNUWk55R3CTGvJjER95L29JIgdgQTO8U3VjncFvHG4
yenWTNDc2rbiC44dYzNKgH4Jns0jCSQPqMwE6yW5T8cp3+ueMHcDh/BK9zoAnAV2RTwIkASAehHC
+yLB+s80O/04pbp7qLnwt6gZMHj1wYtu5KQ4wCYDWP3NnKpTFXvuZywYyViD1L+6jga6J03vUTMm
r+AaTJKC+mYBDcVb4jIn2qTx24MFO0cueqU4D8yeFIZEmQimyHkAybeiOb+TefNBXlmw1gtvuhqj
eqjWZtjHJIu3AiFroRDBol0pjqXhXGWc+bdcVoBenMC4MUGR0ARg7lvm3YwoK9JqZTUahgxDVJ+N
zY6ETdV+ApsJKrR67ZhcraTX+KvE6J/1gCWYXvK0JzjF3oJbftct/QX5xFafZPAwGNW0QGfVIxUa
UvJVbe2ytjDOTwXcY25DJgJF+EyMHKkHjblqIYYeWcSGa4oE7wMUV39y7dh4SGnpqSEY8S0by5kO
QxtQZPcCMvESFNRDQrbewoId/9kwfPlsGZAfiPAlLyZsghXSDii3jjVs8FIchjA318zV9SuX9J1b
rOMjk3hJZWVqNoKX2ruq+mr4WuhT9nUQhnnlwAJa2lRYC0LP1ApNHwn2eRt37jIqbLkM0tzzF86Y
hMd+BI5zaERgoGdpEAciXOk2XihznVsiJENz1K4do8ZxZopR8iXCXAnqUCM6IumOrl1bXDEFS4hS
gkQlSgLdEISC8qpEdHCAqsd4Sdo5e3EZPPoybk8DSYbJWjWygCDtF9pVG3r2nkoh3Rp6KdfxSIQy
k6GSsKd6/FaweLzG7tg+DHU87KBnyCcHceIi4yxchcqPloM7sNyxKvBTrtqnOVUY4H7toJccYJUh
5K4M7GZZYZZCPjkFm5J5Gy8rk/hBsze3oUtq6mC4Th1Nv6yDoma1QYCZFAw8OwTeS2qGy7FMNpam
bQmrA2jjqZekrlEeEj2UsdiUNeO41FjEETil3NLxcdSptVWluhzjiC1EOWfidUzLsFr2Nyqlxkt7
fL0lvsrraZDZnUwaApWYt72wELxC7tB8Di7kEulM7cavnHCDLKtCBwYhra5jQj5rgLiMGsSi93Qk
93Z5Xbhjh9sEt1OjD/YjtNztOIzhqjHV3UTK69UYC7b3HqKkqTC2oKiACRn1Go1o+CkRepstj7xe
lkSoxQmdqj6Oh7g3GnymTbBn63yMQ4n+3CZUDGnTHsf0eBEkpHi2q0SLgEThKDv5KaerceF27Df7
dTLnS1fbNB+S8NZ0EskormuGcMEbtrCv+5oW8kjADgbuy9fDiThCnPnjnvRNRx1tSpUUvmGe2uup
SfrV6FWIiW3iKRM4RH3XlSu89EiiwazNMOiUaakFkzsoxY6n4dOYW7ea7vebvPC7ZWh1w13gKox4
k8K7mNgls2zbumxt9Sxxjq1V5ZxiH9Bqolomtn4hVhkInmuiF+y3BhTsMhGFejMao70cclfbxEb/
CeRSrAdb4NDvezDvnmsdQMgMnH5Rc+MPmTgOriNPIaXKWgSduSIS4ivmEojUrB1fhxawbazVFtoM
gCG5FjuLMME1kRKRsiQEfgTj6cHDDiCDjS0MI4Jz7n0NEBXQvAtlUmhnWfLhCkbFlsyhshnpMist
MmIE0pI29g9TqJxinRhz0R9OdfumW0P7gdEpOQ5DAZIAM9vOdGJ7j3rjTu87H00atQzpAn2b7pUK
WGkpnKhHK64BW2W5espweV42Uf5OA4q2sRTw75g5oDOBC1VCI43eZZ7z1Ndk/uHiouDMCtp20xVx
v6kNRJOUL85aoPg8Ec+qltRAJ5O00GskAGEDezozD2xZgG5NmNLHrhgesXh0FyDwiqPKQAqzWWyz
67SQ2LuUZ0ZvCJx1jNhJPG5yI+JRoPuzbofWENfEQLrjB8MnDg4iMQ2Uz6H3hK6nelFmzgAFOwVK
YEiyGke+6xfLTh+K+4KinzQG5YGraktiFSFpeobaxxM6jGqgyQKOl17FjIFejJbYWUe6rD7smU1c
JwnabsEfv5YhRQkOGSJ1i9hv79nx1GGwZhFQKJOBMs9B7MJjPKj+zGXAZS+b/lvU5PnONQm3rOVQ
ATAsCDYG39VMAYlkZnNMayS4VVh7JyfX+5swaqsTuCmF7UNS3SaWBvMJC3gdEB+Q+F5w4IU90PgF
K9ePyg08Q2+fORrwjH9Gyv+RL8zEy/VnU58dq8M4/nF1aPz2I/8a+hi2xdiXSbFr2lCOMYb9rh7E
1TXnhpNBxe7uvCL8fegjxBcib13BcMYloQqN4O9DIIMJM9HcbKdN+EJ/Vz1o/zzDxWGG5xTwmCMc
nXm1debF/DAEgqeWqcQOxR1Uv4pnjsqbCa0Uw6mlynL/WFlhfYuksH4HsSXuI+zBJ4qLaVtY2oTa
KPZQ6DYjijU9yIaV5oCb9DUQa2NfvTS6zu/hckRzpvVlfJPULNBxb9nmvozGdNNZyJEqFHlHoenj
DWf0sMJ/NG2R26cnlZhq5wMgQ1erdZ+F0lS9iKzBQp4fR9djkQGwi5p2eCWEanp1zWiKqan42JZR
2NP21mmtNnTA8kBQZfXWiSh5bcNhutHSCaUkBeDLVOOSZUSdujTFqv3s69Cgf4G0H+Kouw0j55YO
JI5REDfiYZ76pH8xRj/rGP7QOZy/AseB/KPTuyMY8eb8tB++glxZFka3xrlTtenvbbOz15WYk+B8
bGfUv2wdGUmL3L8p3UocoW3y1kBXlChNUtIoVZQQB+TaKPhV1xOXYUdXorPKDwOl8lMh7eYUTQwm
SLeDt46cMEKvRidPS+1twwhJYteY5bXn1Q9tRugCEXxHAF7iXkRiiyqJUEcYoD/cJDf/7vrz3Z+G
j7xpa5ZWzJNOxqoWStmf3zTeGi9k/VyA4cyDF2P+9sOyNJ4NYY03mqvX+4682D2uO8RaEdXjItda
tWl4miBSHfW3KsUOhp1hGK/njdphKE37Lpj4J2kK8Smq0iDsQAzXUecgaoPKd2N7wSPDGLH1Y0Yl
aYF4ykkzQnDZl2wjrda2aW86q6ms27XSc67pOe3zQlfmR+F0x6EWxq6F7r7DHQRnHPfeKkZ3uB5t
ZHg6UwZSDF+yyk8OllUO7zj60Cm15vBecV7v3YmwvRpF4yKIKEirvtu08TCeuCnTK7fXuJmaNN6l
5ofOhrFeOEHt4PdD7nrh8UgGbOuNYMHPuUFuwkhMoZ8UMdMZtyjG01jwLS3aIk4uCXCSx8nLxNOE
FODTw29UoxSlV2cziUxgVK6xKaKm2fljFV9kbatfBuySbrzC6C9tKpWWlh1p5VpGKtlNNfrHJRA0
cdLidrxuIC8cTaTtm1h5CEHt+d7UUoXQc2iesFzKNz9Mw6Nl1f5SZ1J29efXzi9nFhJnmKxoA0xS
h9inibMe4ocbRkAdD8Le1TDB6eq29btiq8GEepxGGOu1iw4Z8hXXTl2qd8xTatmwy5nARE3RR1KV
41XliOBARLF8cqUFDpP4va1kHT/6syayc/IH/HtI1vraxnrZsyXP+O6PJc5Jdlqhwr4fjsgNS3Ea
ScCyFu7EW506bbq0ZtUgx9W06UkgmA9Ukh9qu2qNtd1qYg0NEBhqMvbjFTJMdXu+bKsEWSNJsdNl
LZECGhUbYzKz9WdPy5snPzGap0JTEhlsjDCCsGViA+m04rdCT7eSDCKymDHDkrjQdc7WAijirlMv
8q49XTIq+/OP/6wn/+O8mj9+xCyeq2M5EvMmYr61f/j4B4nmLVR1cBJ1hUCkNVxjMdVSu0uUzzsw
8NYiV2u0+2SKce7YZEWTCVoX0bj19JjHi8k9yFAok8HBS/vqNe2delr4lESsw406eGFsxZuZZ757
GXfa5u+/AVZ5vCzQbeTFnRNXfngDhUqb2ojYMmRQrtYkQI9XsgrDjXSCDJR0wTmDeY7zQjgcMWA8
tTUi3wo2pG5fGANQRu49xM9kLL2ao2uAAibSIhLENBCI6wX3mStz4rrwSXm/1WHv4/8LP8v/49z8
ld82f/gW6mDiEnCTC1a/v3z4eT3DPwb7VJIFhYa9aYJvXM2Bt6ubOns0VKwuk7EZrzO3L7Zt7vEO
RFGQP1zF/YE4HiSdzCT3mT3Ue/wr2n3r5KAbBgtlQ03ywTUwkPhI+zHeDDmGZZZCQ/MNTQczFT+2
3ppgABWilEeYlVTjTWcNabF10emjMbTBs8wDz7brgicRGQl2Nc07NBDE1wE6qg1m3nBTZdH4UjuF
2tZDH1B7R/Xs0i28ZQvX4NNAAFIvRG4h2GgqYayVWUFdLdM3g/k5dqsCmVBaVfvMYuJVuNzq1ATj
zfnWC4DQfdTEWvdrJ+V/7JifHdRYixPtE6PyPEFaytgo+tDJBt8kGBVeuPL6T2DD8wkyfzSJGxy6
uFCXFpvpeGGRhMMcrSasQeTpvV4Jxa4YAf+zmyfvZpnDwAyjkaxb0SzreTCoWbSJ0cg4w2Yge4U4
i2fJn1/EFIk/PUG5DRGWUTPAebfP5eAvZQNnNRLqtJcnuvIWrKbODbY4n80ZDuMtGewRlrJ5QwHR
M9xQilWvjmgVayDOpHWYN3ugFC7CmCQ7yJgRHbw/PU6XvZbEOfzfYtNKJlcL7iT9bRr07IHjv30T
NPufXexa2gqTS+6umsgrQfFSjl32RWuvc7JmuQ6guWUomYgU3GQGuFKgeXm38+icVqDa3P1o5Q/M
2wlPx6gJBkoT8RZlkHbLJGQaVg1ZiR/S5rHC9RWt6hIfA+7aZmtx1+5cYmgoOefvtRri9qkZ2Xpo
KUuVUcRq7ZvTk1FViIBKOLO8HjL/GDkUW0RjXKyJaKyl43nuu+la+aqGdnIojUTfKT+bNEYOSm4V
Y6PyUoyB5S/hR0ePPAfix0YDw7RQ1WAiQYrz5KlhxcCWI5VOuIuoW0Z04JwGiyaqog/Nd42T1g9z
gVOP5UEnVnWrNbmzqmkMgSVGWADYv6CYbrqUIy8rGz6oZqj556DtuA2mSKhg6TmNBZ0RlfZ9CKJs
H2BHtNiEJeZbZAbE74SGU6UXWtvO5Y8/3YZtXGprxSzmLc9KztVWkhAxb7v0pVYgSgvtIT1MXAiM
/wcWYZpFcObSRuvxbJQq9rieOnWbFMhHFoabjKea2nKH55dE8aZR6ptwUm/vdUpbI7RJER8z2IXf
WqthjYIcFhsyb9BiNZ0tSiquwlhSZS7GsF61KLtpZKtAX8Wmyr7hfzjROs8BzJStwWJIAUZnQ5pf
uW4OcjF3hyUPA6YYDSHVt+cb6R+x1P1Uff7Pf79+5HHxXfj0Y5sqeAT+qVrqOorL/+MH/hAz2Abn
D3Yz1z7nuP7e13p0vDxcDdtFAHuWxf7e15L76rs8NlFHubSc/vz4+i5u8L6YKKpohU3h8ONIIP6G
usGYxQs/FCmWS4KRR3niGlAdscYh3fixSAkGjSFiYdv7HtZDsBKJSjkoq+BgW6jazcmmrqKX2FQg
NDbGMFKKZG314pMU8GAXrKEtEBpPulk0T+Goi7+ooX7uuu351Qlaa7KggcSioGIo8OOr8ztkgwa4
8H3SW+WrHfGgknpUHAt75E7hMJ6IgMIt11Ql9/mfPzlMMdcIP3423pxIaOCddSDO4k/8pfcKIkLt
nS6We8wIz7kMTKbjXexfpn5dOiiHbfcodMDDfEwQqEbLjx+MpI6/jqpQH27XgKqq1GQesIE3a7bK
2bY9Q61qWTq37hl1Nc7Uq2DmXxmVWeH8rziu6nnrNea+sbT6Jr+OBEqRpWv0xlL3pAQaZ7jwrzvF
xgOICspQk/Hcok8cASuASPmySSIoGV554c60LrQG3SkqmmJTnmFeGvIBhAHSZyToz7wv6GH6k1bX
2tpL3fuOGCISfCFH4KF2quKqtsZwrUUag1bsBP1u0vJgmWpqthjOoDEFcoCQH9ILl5jXAWfMSLLi
TCfDnWMc7SEJVlSu7ZM3BAwpYh2e/0I/8834Apx5CTBthohw0NEnVEOzxIBxxxHy5LP1utWbODZW
wET1l6zUEckUtL0rMNv+eujMOt705ojKK+ZWOkEFC3H1nblsGELae6A40bpoXYoxxIhASgpRtKeR
dpBYVXMg5I9Fo87cNMVVUARtCnCPUDNDW1uA/S+KsdYHnvGgHvC4w3iEhQdSrko0a2ezmtUw2ICm
GGz72U0mbx3ZTnGTFqQdNKEU9aKzGX1aZ2xdqEOswTlYb+p2sG8m3ORbdSbdRYL9lx5vUM72VEKG
v3eEm5+UAOa5QI9HrtRMzkM17L5Gblvt1MzV87MKwh4aALVpBc0WBigcrsh8MP8s+5nP582kPoxF
44FxSvBoJoK6YogGHPKuHX1ag95fG2faX1y4+ScROilzW4VIW9oxOAhA+bAxpzMw0DnDA7n37qJQ
S8yrLo07jEMEKhEjAjYwHiv83Ni0l4EZyHCZjEFhLLyqxRCS0OshHK6TrQCm8ZGmfW4sYD3kdD1V
gYHxspF+Hb/2MejGnV/0FpwPNlQH1SmTDAUz6Z8dcIoky9iifFWa2XZ4n7qx5q6QWvteBF2SrWof
LePSaUviptquLrR1GXjTJeSMgph4HRDiuus1Fd9N6CKm3cTWu1vim6MFKYs6D1dUE2GFgHmooVug
Si7AkdhFDc4kpeShduVR0BbHOhriaoUepXxtSqQoRj2BaNZGvdxPaZOeDLgvHIYR75/dX3HNPp0Q
7a6kd9WEz1+jA8F6GAX2HSB8Y1gzeQqY3fVW89TGTgIDIO559SOMoJ0sR7WLy4EhYWCXL0MPWJlp
DrbPFUl8prdu9G7UFp0+dm96Unf6JdHxtn5FhKrZLSvGO681wjN7dXakno9yGCt8TuA4xJrMNs7R
FA3VvClTj7QdyD2WKU6CtAFHKoJMrXgSGNOr3XW1Xh08Qgz4rzRE6sp1NBkhYRklNJf+GSVBFmP0
BPb72k1tzqVTq+ainCEs0Bp4xWCyYLMMXRsnKMvqimGCyK6nM8cFZzb2XzQP4y00THFtnZkvDHNA
JJ1JMEQBQIXxZkAMvmVYMXgy4cbkWg1DZjjzZMSMlimwgPRXlpyJMyjXgm5VzCAajfgdqLxnPg2+
4JmseubWdGeGTTTjbMoZbBOdGTdELpYAgfR5vIl/Lx2a8o391wNrJ2ff+35ib40WqVh35udoBK32
WwYJcHWMM2NHzLgdawbvGGBpLyOzB46oaVNxjGZEj0i7cdYJdfY7LGxn1sQZ0YYQv3UiYLmyo7TH
o5Ul5QUspAjE6swCaqWX7UfmL/bam2FB5hkbJATqMi4g7T49c4XUjBhifwRtyDiTh5wzhag7E4mm
M50IM/TE6XemFnGOh0t7RiKShEDJOmMS/ykc/5OVCNrVuV75/6PyLmOgCk3Zvv5UPf72U9+rR/+L
RRXiwviiFHSg4f9ePfouq4/ZxeQ5+veFCduGNvqf/7b8LyblIRtIqiYfaxWFy7+qR8v8guretGcJ
/wy5c+2/VT0yTfm5RqKvdlmxsN5lvGig1/1FXm9GqZ+3VqGDhdbwmnRL6iltBcU62MWtMcJytCAt
gQzqq3oDkdkw1w7+2c+RFCnwVpyPi6qbmksk+WjQFpJa82lUmYXrxkfwuBoa4y30RPiQUyotweTa
T71ltZdSx2WlBp+slbhkMYPRRXMvQzbhqIwc7JxbAr9T5shJcUFbhol5tG+zujXftMEKpgu9kbhj
WCm1xz7xreLBTMEqHxsllQ4PxhlYMFrkeX0kamIoLBr20c7cnCeYw6dmgPJGIrNZ6+Yycs3uZUjs
gblC1+faZWrGDHgkApeK6AwMXiHcKapEhF7grrOAMjGCahlGQ6GWNdRZZ08R2ny4NO93DhrXfQOb
bSvG5COT/rQmCRVlmi45NXtqji22mvspNdMbcoKCZMe/Yl5OLo/iVTuaMZ5Ws60XCHnMdWtoryPj
nYWnJ/kwC341zNK+uZbkfqP78hDFKSQmNu5ZrTlBcbMve98e10bbuca+gyFWXrTKDx5V7rl3lWsH
95DHocXWQWtqiLwqO7vIGquRS7cOkud+qKO1Zgp3mTquy2cA7UZ26Pkc4DMXbeXyWZIfyqwN/hny
h2kaLtoOSQzG6Iro3dhRJ1mEeHa3QcgUKzUcsjRrMnNFO+ymZFAFWgOsU2T4SqRuUxDgYcjFc6UI
ZqDo1dS9T4CetWB/NYu5NN3LiKsAx/EQMqJ1ddwQlhi1Nfxsv2m2AkitzoQntCl48iRDzvQaNqoO
+eYyxAx2hs6QKYiQlXWl7GBYj3pQrB2/MPZxr04euSZrP4LclKblkMzqzTkvB3JZ5PhYgbsWBFxG
ycL22hbDOlNBvyT9GRa85t6no73KbbEPu/rSnjweWPCv3Ljk8aUkCYLpFjtHcHDTYoOtu3nQtOh2
pGdckOQSbkI1orjrpxdDH9jfuXGwCfrpTs+SZi9rvBTKkclR5hoUHdtKSWeVpB9pBWyexsCioUUM
ya0xPljoxjYD06kLLZvUXpfcmsLJxIM/ia9F61lLaYTuIolabWm1Sb+hBG/bg20C8wLp9FbDej3U
sRVeSIckVkV9umYOui2RQjYWHjwL/G+aanIV51qxDKUGYJB1JpDhKPpEbPrsjgjD/aCsFo7UUe9a
dYrOzvIGYhzwxNHvFcQ+TFQMibprY8hEBqqmRS9sHrN1Ytzw6pOLhPVlTaADTC8GNN1nlVUTjYLJ
h8PNtkPbsUpRUSI7U+0ORsW+GGyU2tkp9eKjMoKtTwGF2kXdx067LfUGSlM4nEAM7At0dqC+sHIn
fPohvY7XWw+NlFtvGi8ToUE9tjvYzVUGHCFQhAEF1iMTMpLIIPqvjDz7zCydeW0xOKski7q7WCvA
WBnG0m/hY8jW5hCMvUurYpyV5OO4QPHCjtUT1q3eRcU6ZzcAOaYfuLYqeNR8H85WNAT3anQmO6/O
3pU70RYL3T84HJfEF5nBYgzMhJzlNtl1iEVW3BXzulbe9kmz1jzelCqLq9Gzkle0LeYy7QIXQw/w
r/9l78x2I0e2K/or/gFeMIIzYPghmXMqNQ8lvRCSqsR5nuPrvajutrvU99a9BvxiwC/dKFQpqWQy
I+Kcs/fap6qS5m0sa1LkKnSZfGDNtmJKQYpg9E3XWgyYcvqIOqhyDJ/BSMaMbGzhgm/XAu/Ykx23
wcTq3TDbgzGgbO+QJg6I+OZmHDp9yzLhnspEw3vQpnb3xLrSryUBWcOqMrrkknpl8OsuxWnKB7VF
LddfclSJbo1p8s7NpN+qRuvWZpI/t6EkYdjrr2DcbYuFPjIlFRr4or1tQaZzh2gU9nqyTYzU4Ncr
zdfIjC+R7rM71AFMC+Ht4qS7J6sEnDIq5rsxHc/YLht/El3y4GjJgxUSoYU98rVV3jc7lAfZWwuU
ua+2eZahKJTjlp7kobSTHbnWUMST2sQqGdY7KDDvBfzWjcWReK938p5sQfRzmCNx3EYZGMt6JBJQ
GLc95rCsjR7tVCqGP2qDgpODa1ttgOkt1Unr46T202UtrTT32m2NXRvTeZz46FDFEKzms4y6Lyn8
hG8ZBfaaeF6+aho6aOkMZ2ceNkOdHh1XdluLKugEF95d1UMVI5b0yshP58zdZVOvDlHZ7bsKYHsc
pHQvdJgtqBZWEOC2bGaZrwKC79zR9HKo6r35bgJSZMEuNfdyVrp5EzGdoEHQ1Oesj0H4j0O5YfwR
vVWTDY5N9hdTDF+vGLMHYZJnEJRnb0BNi5jH28imuxvm9rKOnfx9mIq9587foAUi1uP92FNappyx
nfg0zEsVlostow0XWA4K4svJMjOErUFdrQEIipMVW+EWHS9SwT40noOyRzKkC2wXuKQh+LlUfPhe
jeI61IaWJkqDLbZjX6tiXIJzSSadEAIbd1/1FzIsAj+WxMV5SwRbYGgP9EeW7ZksitIGvOtal6Pu
yEeNWNUrPayGaW3OmRlSFJHIeVskGgCDNlXHaTAeTHpvb2RGaCGG8KJPt5YzGtAUMjE2K2bk87Bn
nwX203nvuTZciwhmUoeY7RY++jUSfc2vU+0mn6P+Kp3ip7YxgJ5Odnmslf2Eyi27n+L0KDWgJoK3
t5ZFRqQZ3cD9SNTJa0LYAGK+oDmAhpebpES2bmd2vHLdKvVzqhs/bodnj4yXTaHj8wuHMX3E4kzS
+tC6H3ZvhWvaARLxn5G9lq4z3zkEW5KQ5D4bKYnauZs7jw6u9LUW2JAQnSi5L8JCX02j3u6QlucI
kckBn8zlS8QHBmVkMohmI/qS7zW/HhL6HMPg96pJ32Zdc249GgVPRjvgcOijy0xPrfU8sGU7SSXI
EiErDRprhWC30pvsRCserhQeBc4IRXhGZrfv0iD1NcupNn3vlbdujrCd5TbqbwCBuHvl2PWTprx9
Sebk/QA5Z7sk1ULwUml8gf/7O8Hh76zOGYxd20OeGvQPMR0Xm9S9XeU189oatXhD0CobROzZa1J3
AIVYUi9IuUjkZUGEp19Kq75gcs1wpGvni9wcvT3TnmlNusx7FuaCkXUWi+uqGsQdC2SLixuipbuy
O1pmsPHDdgvtL2XzarXiGUA15kx7trYZZ8FHfWwMAofxZwIPMGfjDs2DeCsyy34DSRqtatWFHkIL
ilNIsxvVc8/lYgNR2J84AA9Hh9HFKu71dWEAbaRQWTCKBOIGx8jL1jknDz9yY8ynMIlFPkanph+d
bZoP4Z1Ho6YRZw5afl4Mj42naGyN38mjt3d15ah13lXY2AgiPgRFKVdqsjz6afqOT+1oJYtuPR6Q
HZTIGCezfxkwruEcQH5VVGhKrIwZSBPU7H9puY/MgszHoOpWlSvw6nXSXEVNMhwLfdwEjXGZRInx
ENOt29HVdU9xlJcn7Aa5nzre3ayg6Q51c4uPyNzp4q0n4GFLRGa5SfLgQYRNvspquQ40ExxkVFXr
1mpW7pCQdWfPxYYUhT09BZKRm6nFcSGFX2oQemKahW4GyLhsYmK8XBvpfj2sXJVGL6PXXdgc8Le6
yy3OvephKoty4+iwaKw4P41kI6Ljd/M1pQpkhI5x6Sp0KvbErDyQCnBLcIK5s0PjPSv6h7KarSvN
RuiBL4bjsjVvpxG3SFN164qp1cqoANcyX0OHqjT5SB+CnkKWM13s2twHWMxWN8PETEQD/rnMCCpi
VLgC2FNepLlC61FN27LlTBeXQfw9bcRaTDgIVcxTPmX2irAswKiTGzyQ7XxRR71J75hQ9r4uPjj8
gqqLWlBIqoTyj3x5MoerKWqjrWIy9gDdn/g0s0deYBbeBlFMwaHbtVYzo8RzGrK4zIy6tp5u1Ze2
G7zpbROuvXSyd9GYTjf1jDKZ0DHhz5nDqUdU3pVeJZekGvaX9B2JTKhHX7UNuTqmPl9KIhA04Da+
sktGq8Mw4C1xxgvMi99L6o1MaM9oYl7Dyt6RPdVfUObO3IyUHFt1CBBkYO3Udln0obk1sz8b0yZe
kWpfp811HS+t44jlMcIvQkK3vq0qyltCwQw058NOlpZYGUlycoXBBpoQwpC6D5YTIZeI1evk9O9B
H76VZcrzUxo3fXd2yuChHMjOopwKXzSN+XlvZgfsXNBPDedCee43t8KX5XnlLmVzXMnQJWQ5QDyu
FbpAZ1TdJCOnM61NsDv0qqX1hzL4Mg1KetxKu+7tenBXaT4ptgSsA2RPDCwNulZF29l120PDE/yC
zumHsdgDjYCOWmRIwhmwaS68CyunRZ/k5YaOfX7JloXsfyqNjANe2TgwF5viZqRbvR803BV6Yqe7
JEaFS6Oy0SO/TBktyVEs6LTBosip6oexp+sF2XY4cKpOge9Gxc70CnNbzSo8jXpvbxtscbQaQwKc
vCvP7ZPrItbEhxW3/UlFsX2sDLfZywyUIxSVeUuSW3NvFmSMu418pYZPzsBoKfBDHW56CP6iLcML
FCsMfMgxOAv4Hhs0HEB4y8ldJwPV0sBcHyM+dt2GdPYAw/luKAxzHU4aRRWo+RWQhXBNb0NbFQSY
IcN3fbtKjA3I+gCPSWcznJ/f3Lz3Vrl0Xp0w445xqD0XfVbsm2Q+WM2g4MESW5uTyFu2ES751Hth
2Bhj8iGghFR2Il0qq+AY1Cighbx8640+zW+fqDeOe1T9W1MmBZ0B6ZeYMbfovbMD58YDcdCJDwl+
2LJcWRtWc1J1iF3bZClGqai6ophyb0m5NXeUwnRcjCl5HlKmRksAMwhMM1rs9lQLJJh4J+ZLYJnS
xFzLwLFWfQrrdaD8KDGknBxSjQheyeJ9m5rCbxpIL2nX6qcurbsj+TQftSL6yENWtNQWUsWXuFeD
zaTCHDEsH2PJ6Bybr9wQaoTplwCWFR3jbp3WrnbC3QiMG+1jWubn0HYeyWRoQZmL2p8W70Q7TdtC
6LtwpN+RkTvjV1Y0b5lh8FJuD4o57n6osrqxy+48V7jnmjlYq9AAFVhTZ0mjIPKe+OyR1AN64rRr
jNbXo4lVmUDSfVRmKHPSyuLQgoOJb6oPahyzSt+xRlqiWXMAfBuc5C1m3Oea9fXUldMBjRfRJ3V9
Yol+BAda4G+eNpRaPMlidnByozXh20DCs+jlzp1G2iiKTdfsjENTids50UAFL/4xvKp1LYCZaiBN
n2pTo20yjqO7RRt2z9p5KzG58o7AGKb2SOXljn4IZWXdaToWh2rV0xFYiyAejxFzYgLRijc8AN5N
EiKa4zS7q0cMg/ZkqAdGptdEBHTrqRJybbT6tmsthylXk9g+B2VtbWNWwrnhJPd5EP1wRX3ZKnlK
XfsVxRyyptdO5Lu+cz+aYYZ+4cbzhgxh8pZyb10nhS8SgBYYPj8qsoFJ005folqLNrXJwKYlCSwl
E4emikuvhOA1ZnoFvYBIKI4tSfCSlMl1E7FA+23f2JNf6aZzlfeDPGqc6SukFai1xoGifKhnon96
dvKKXHU8w1W9KdqpILEJKfFY26cKW0+jW77NPJaDWJr1W7o44ZEti/xdJZyaHXqu+wutVM3ObFFf
MDQ1m0OMau/aZVXrGMeKxso5GteRu5o4kXf3mmnn7TYHJjmTKJaOjU//n1abTY0ws3zInlxc0xO1
XBXcIwsfVBMim9QZBbhoy9LJSTuwhl5Lx+K3uff/ttADjMPlK4a9f19e+J3DBetc1P3Hz39sf/sz
mr0FA/HTHxi6xt180/9o5tsfbZ/xo7+p+5Z/+a/+5b/9+Fc68QtPHNXXP+7EnwBDvrZ/bsP//iO/
t+E9828WGBuowZgAyKcR2Ax+B5sJ/RNgjEoBAA58iEWp8Ucbnl74H6INIDmejmYdN4KN0xmR2h9v
93cxI3fqt7f/d8SNtMy/dt0R9KJJYCRgGS45ul+67nXQuUSBTvYpl5x2fQkqA3KAGDHW+X2rVbCp
HPRQPUNrYuKDy7KYheUzF4Qgu1adYYq7rKx1LT+2rW00EyFPU2MScR70kAt7YwCQyZFWVZdpZKLJ
3+bNQGVy2elpTJd7ls5IhGpL2FnIl5/m9sVg1u17Go43WLWcwBdSc0iVsZ1txjwCHEbNXijVfKe5
ClWVIoAaH5MHyJSAK3olaidFwwmqmERm+UmrcwR1oJa1+4ygmPoa4X9619SB99xmyoj8pq37ZR8Z
EvIdYVoFZMx73zTDNksuMdtqM6HJjHcVHV/k6XMBhr6M3asU9Bk1koMDwyvHl3hg51DM1bdlP2MT
aCLA5ckg6auWRgSSk04GTj6VZ4eEiuDFbq36m2wNyXCtjL330nPfs2m+dPWG2EvWkPnAf4Lz0NvG
VWzF+t5D2saY1fD8CQgs/8bw6ps+KciQ1OeZJN4RM/DKrJylg9KXpMwQALlIPCy6IZrKgXr27SPS
t+AgaYPvFC2+G6+V81HzEjonc0wzexUgX9wjUIy/8zxYN0k6DMZmIMPiKsoLdzdZNoLQchIXeNGK
+0g5QBbcHqGtMh2ACSGSNtPt5BmYkHzSsHDgJ6ylcVWa4QImyjg90zs/DLFQyOCteVjHPWhOIaH7
ICFlOdXIrTMYG+8zMwG0hKpSvWhzXm3dONN2JNKrA6W9eifGwTlETIPvlD4Hl1iyyotSC/t8Zypt
vqLnZA8C5/dgdijnVn/8v0uJeonOmiVx3wAOzT+dogODm+aYVG04Fsc8aMesXDt0uRNvKxvt1uV8
j9JkGNFs0kaLAqG///9s819aUT14jL9aUS/KHpH9a/HTbFP89lN/zDbhfKEsRyfAsNJZosD+a1Fl
vWVPdnUL2ZXgLLLMUX9fVA3jbzotb4hjLiIYplSo6n9fZCUv6OEg9Ry8Drpu/M948caifPuT+otm
noH0D0ILuj2s7PKLMi6em7FnxtAcLIIOOPUnmrjVo1pheIXmWNaJ26HNRPLbak5wj/+nwYdfBBwy
4uDYLvJmh9DiCxRLxQ77M0TvQdDmcmk03rsVpw8nqqx4U+rgkEWUAG8oMIgki4FiikLwG/iZNtUi
RCcbITiXOpHAqJecAR6K0fgi1JsR4bqmmGTk9l0PtP6fGEi+7DLcgcVTh+mIKTJQ/8Xg92f1HXqm
BsUGAnLUBtO1DfFgR8YN8OauW94Xv/efHpG/s6990SJ+Xo99DRAEu6kDTODn69Ge1KeQJO7DuBDn
Oaa9EZIDuzHgHvz6Sj+7qqzlSo4hGV2jCieKzvjyzhRWJ9VGdnYYaR8heiSoEqkPEEJEwneDzMzd
HCXB7a8v+nfengMlg4QEHibsXMvf/8lOkeiyHXPSig69Hc24+3o8Ki2zdaLAJwtjx//8ahaJeAQu
QFh2FlLWn68Weu6IhivJDgwHrfSMwGkJpm3EeNUTJvDra31O+X/+rvDG+LZSdILnEl9dahPSkyhH
wnaooymDeBmR/bau63ypsIVaRXM0XfVNz/6DEn+vMkRsJE8z9fr17/HXO7y4bhwHzxynNRaVn99z
JlpnznuGkjXlJ8Es7dzCfAmCe8+u6In9+mJ/fYYsHfGuJCxwcYR+2n/+9HE2BKvR3rSTQyWUuvkM
O+g0vsFVVBGXPLcxEwOnAJTxT677994kHGThCdv2HFv/si6lYTIig6gShpeMbMDvExhg9OOIw5pQ
hF+/xy/XWgyveM09gYmCVRAD4s831CQzVgwR48+Y/DfakESYLu30+RSC43j49bWW1/rTM/R5LQvD
FD4+Rzct8eXDI7qXTCuyfg5qViPqrMDJj2S/D2L96+v8BefGe4IESegAiwyPq/z5PaHYahub+FTM
AQC/SL9horQy50KuggFrZBTHhAhPTQdERNGngNySh9H517/Dl2dnea+EabPQgUnGUfz12UGSmMZQ
UPkdmCusK8EQbmnAhecAFcOxhBCy5lw+/5P1/PMWfrnFiDh54wZ2ZqTJXz7OIbRJAwqc+BABKn6i
XM+PtmHOlxXn0V1jVGBtOq1k1D7OiA99HEzzACO/mL4LGtVYm8GSHYEsBftwqR2COOA/KtF+sxr8
4/pm+ai//J4WHwxn4wUS+ldQM0H0oyJ5fo8tzX6bYfA2KFozj48IZY7NwXgZ7tL9cBxSm8b0rA9y
XqiPQXDo09I8eZ0XHKbYNS49zW6drT1EZQJdz3OG3a8/yb8+ta7O3aS2sziR/KUS0z26JC0xGofc
08F2pKE7pcBy2m7z6+v89ZuI2JCPzHGky3+/7o2xhj0v0Nr4UMKiv/HixXBVpKW1iG+su19f6+ty
zuPp6uSFy0/PFKzsL+Xl7LZWa04JyzlUl3XoBoRoZ5y7cXyl20Au9sNpnE+in5xn2mLhjgis7p/c
WKFbyzfx58cA7RtMAOwPfNBkBP38Tc2aiiZ3LYO904/NfHAyyWLaeWSiI5ip1A3lnv72GT8RQ+Sm
FqoiMJ5xnDZMx4hOOQFICY5e38/XIBaxUrZ1UgFCzLo+Jl+FcJAsIgQkwnV3qzIj+BiI9Xl050yd
VdZMdO/rxr5zakyLMnet09DoLLhtPspbaCz2HXMgfd9hVL+ISKQGL1fF2j3pFeqGaGWjX2UIW69y
WkCvWTDrbwrd/JniHNOXNxXBB55DqzoWeZ1DxxiqYK9aYbZEa0aLQ9VpljMCtgYyFWqJXMELxDva
KeNhNIyqRtaB1Mxv8V19ZAzGRoZpkxFtWjeJzqHBN9u0WFpEM8RvfcTiXbah9REymJd+kXNsXKjm
buiPsRf2Wz2yzd1oku6yBqnTfncdxMFFUjvPbj1C2cD0xfPGtz9Mt2npcfmqgojiSmKrV3rbO88K
Rs56IuL+7Cw/2xKMdg5ny6BxHo+0MR3KwHuvNOYz+0z2iI1hvPq8vYGNc10WkX5TGXWEv0zBOD/g
kbKNo9TziNGPR1x2zUiYZNLP1Qpm16npFCuUKybtBSECTyTkPjxbWSbUHto69262XGg/ja5H92ic
zCfky5kGsE4vro1UOsU6QdZ8GsFcnu2ughlUO/Fbo3tjsQqaZg53Hi43xPvgKu6S0DAe3GJo5EqT
3NscW/cbw1m5FQ1SksSqwR3xpaF/HcQ5UM2RYES/S8H96UM9XcUz1evaMUX8ktkdSxNwxkfBvCzb
GMtzmI8lxpo+GUN/jtwuXqtJcICh76+2AJd4lpy8U8gbZ7rKAaXXjN10wEluaSBzMIK06z5avNsJ
bwBZJTo5Yt95wDY6BrvXaFzgw5PL0ws8Z7pugmgq931ExWBbpXZvR1DUV3pozudQy5Jj6mYbTxHs
SFNougLlVDMKJR02HFW5gUtv+bNWNpjnohgOW1OcCNtdsHRZvLZlq5+FUahjX5NijwA1uA87Z4M6
JH2tbQJxZq7mB4FFT1Y5uzRGGlbDGtvpcWI8uzS5V5WZ7/Ry7uAXww0iwUUhGEDfI+j0bL2pzJF8
FVnqc1flIyNiwsWL+ZgIbxtFtYG+PCqP5DuTzqsB54HD5MEc4m1lqdv4UUrgyDx0GKsXMGBnmc+N
0xrnMI+vmqkjfAg7yXqYEb2x4cCvquMHcpRyWEyVPGVWBv4ttfyqK8Yd2leARQpQRKQwpngV467Y
i27baH4DK/pagRDcJODw1rNtkkoL5+2AIPFbjfgRPo9RZf48uexqfSVfcsM8KkxaDAljVOjxuE5N
+34YghNqu/BbR/tsE5nzdIyynAXYXM5IuZwv7dgwzh2AsRuBOfWoDcTBKGVfpA4RUxBc88RpPfCh
tQzbH7WeVvtZlAkz9GDRpM+hkRwFES9iFWihc9FbGb9QmZHysBpmqR4sZRoMkrOg33SYD05ADeor
DkomUjLc6wjqMLwi9gsfiLgc7+j/c34o28oNaaqr+Zw6ytjgEnG2Ztq535M8bgBd2dMhqj1sIAGn
6HMT6reuNY63zjjPG0P1/WbZfyxmhxVSz7iq8+u2I0TS4ZvG9IXAZbmSKWMW5jT7MEXcAALVbn2b
MDGWooJxphmwIzih5+yrhNKHdlXK4GQuth66pF2PULhiNC7zq1bvHp1M1WsxxotvQLlwRbMSw02H
MzrZkoGdn7SqTbdFklrX2C3aLSrH8KlLwvFk9NO6i4PxmIw9vX7mKt6LgbE8gIUk2yXZrNEOhddE
R6Pm3A4+1233ash5MBPODpQImXaTzY2zyefmW1G66NzybngGpul+dOaUziu7EPJe5pbzNI3EMe10
a1FS9SM+p7LnPFZM9b5SyructNq+abJ29o2S6C6tq509FbQHvkJIdBGib35U0nU31ZjMcB2MswO6
7ewFzYjhC6cWuaMFR5jC2fVO5t1kQQ3IAT+PQfGfRCZtikbca1C7fIGo48iH6t1NVo9FJAqAPxba
YL5PSm9vnE6ja4AHieE1qgnI8QTKJp8CjdDajY6WbW23G4hFiE3ogW15jVvXWKEgSQ5BUsvFmh+v
jRypwxCI3WBZPNheccYwCY8v9+R1WGcQWGrHuFhUSaumUlBNrFqsc3csd5kOBDLDAvfaw9zzWWhq
hrqEQvtuhxKD9AfL3UVDITOkZwKtZhuEj4U+GZe97pZXugo49kPzRN2Hkxnia4piENz5kO0IqHCe
LdB597y18DRplluug4BJ/Kx584+OcvwCvWNPI1xDYY4lnwh28s/Z0xdn0ZJkaV1SsS+AOFqqwSDK
YyZm/M0Azs9jkmfXlW11Vy5Dy71RtxFyC89Fvq6Iq3ILDehQgGqynoJz0tPbNcMhf1tgYPYmrbz6
yQytemvbJIx5Vh6TREcm1UHrC3pJSdY8Om31kvPSG0yIiJY9S0lCZwFFvmI9TEYWgVYj8mFB0LkC
rF+NORSFpepPIpghDpakt1t9vElz+T5qXkUjuILhitUAaVgYzmfinss3RxQDNIGEWBSPPRDipNrN
FjNVGC7dtdCH9i1pUtZszMx5xiLQpCGmNdOpU+uhg6/ptO+2Sa240k10FB+RNtd+F7ekn4RmV1Am
ddpHbUfFeUJ1dhmPVv+ghcHwZjax+xz2XkMOW+ER4TzpysWnZpF55sCGKfJirzFlO0r0H+EmtwfY
LwLIcZrXBGYt+rGkXpKux1T4nKLCy1nOzrrLiIYCMBQcrBJdFb9VN+3NItHP5F5ka2DJ7BmwmED5
ZaBFbE6XZYQoJIE0LYKxO6JOrPp1Z0rUlTHChTsXNx7kM9AnB8ub2EYE3SGeS1JcoRor7T7Gx731
0pLPjU1hZ+hVd6xU3L9X1EZLmm62LrScu9C48Usgl0eZjpJONF4licqTzbTHOBI8YpkzXjVZaTjR
+/EicOfw3ioYtgqQlbvJnLwHSMXErTAGfQkqM+Y4qXs+ie0PHIxhtaHXW0VpfWsbMAuJVpsVyyvT
bR6q/FG30PChCLx1Bsz8iYOhgbkVem/Ef03RAZNJ9Xw1cThZOw6yMlEgj3epsRFFQO30pvgtzWSE
II46edVHxMjMEAKYachtb48/OuxMO2p5FOiN9LaAcHEW5PYR2bPlC0iNq9xaAJ4eJiZXakAaeZz1
ZBKn2WLErMSrqnjhqOzdnZzrdJXnM6K5Lp7ualtGvuzd8AzT8kOrdGyPihm/jcfiGNPY3bR0s44x
7r69p9MekNMA5KFq+l0FUOct7YS3osZn1+EghIa+NBFfxPU2H7v2Qu+m5CIV0y4FOoxSJpp8imo0
gHCYRltnXG1O9t5qcOLpOaKbFp1qhimVDaIMrieBXqLL8Jq4XfujazRUs0yYd8ImAzSvvZcGE+62
mSsbTwW9AxXqh2Rsb3pDe41tc1uCKeKc4l0iPYetWD+PubrqIXx0pf0AZenMkkvDKIu7k92oj6QO
H4Xn3Tqy2OGkJskvyV49PWbclNKkdDrvTVh662OLYBykCeuhzGIYtaV8mzzBwQpyGTp7CVKv6dae
1LdJX5FY74xQve33fEDRJnO62itLoyIIx75/IknpfRrig40PcVvDqRj92ZvDJ3AjeFkJGE2PpIAO
q3nG2lvGxk6ozVDH3yACtfu+iy6s+kF3h/6+dmtvE7XxnWOE0d4ZvRQ+y9B/02TjbtARITaihrnA
vqjtmwkaJ/NBHe9C7HyDFlGQhkHMDnAOhNtxbdMeHZOlnIATOO3KESOwjmdwgUjA5gQTrzXbKJ9u
LVz733WbtOWjVmU0dEB5tq6+k4McjVPn5m0LWTwCSk6azfJ6sk4BCdN0Bh9CdmJ3CMk0IslwTIkL
p6tpJt1KTzKxFS3jOIRZ1rjHWOQAjO07J163SEZRaS5RmnY7UnKmSFEbePjPbpgGHy1RnzzdLcNY
RM8uhQhoogy1iltSFoU89v0adjfKh3CZacxlHzxDgtQ2gVZTY6BCPSWxAvDDHvfo1sF81kyLKjl2
tE0317Z+mWgWcNNuIUvkvcOyNLaJ4RdiqU5EPA0/EgVFLLFncYGsGlhA2AD7SYF6hLlGkzuE1nMr
Wqvb2AibFj/AoCNwG23r3EXDUvISIjWjj63aJ2DUHB0yzUYLKuDWcLbnpTUbV2xUUqCvLdieW0c4
1Fej3b3YGe6MuOH4tyIF8BoxlE98anEoiFLxFVv+QRKEiYjZCI5GZNEUYIx8djHfnz4nNZ/XG5YQ
2rm0m0Ngg7KiThh2OtyTb5//xEMffKvblP3lQhVz0JjvJXid1zbvqMEgrNAlcI3xCosSeF6KTWY9
qrDviKmbz0yWLeJNunr72SiuMgKG5YT2v0/JpM3yuCIiKwbgr3n8ijmKxqOtumJn51b7hM6JNxAn
vCLriLppabxcW3EmvuX4fjnap2DggnFqDo1VTNfpxHmXQE48y2kPBa6a586fdN6XmdMLr7CpXNZD
VIExmZN6x1GN2r7vM6dZD2kwpqtY0RWhecligP6NPHZEA6U5WJC3Az3Pef7h/Vx4ZVi90vyLd3qa
0FF01clrmlaS1uTBSGLv6KLFaVNuu3QczYsMkNilJUYLy4diQqYsmldI+o6fz50GR2g7JHwChupg
7jWZuok6vBurYVqoKH1UBSRF0V1D8Gaqm6xf7kmGQcQR/JHParosHfg0Nk1K3xRk1ZIxWuzKpRXX
9kCKnBnkscpAn8FJVlvb5AnozIX67w3LC2aJfRdKT8PNRR4oM+923Tnk3k7gBr4B/FFbRILN4TMt
tCo77pYg5mCGIuBgMueFoFY3GK3rUdO/RfAuk3XapbhKWp77SON4DR8GQs9n40loMvhQwqSplPA0
GYpLJpNWvtJKLAz0+XJ46CQDe49wxeMQBeVrEMH+m/EDw0SO+AqbRs9sEtT2MahE+Zo6bXfwaiyW
q7kdMh1YQxaIW4oD3mEhbdpfQRhifnHJut95RSwvqFuaJyiU/INczxZxJLcJ7aMEWk3M5+cXVrZp
9D1XefWKFJ9LT307HLOOAKWOlmu+6l2tfVUQ9UOdjlxX83NY+dMTi+9bb7Xo3UVM6dFV7xgHCJVl
mLdrB/zvesen03UBX/aJWWnQz3jFIBbvugaR2oINPhu0wM9VDryqGfHOoNRV4pSFUlwVhg2hJMOs
vuqofKx1wXK40/G9Ao5o+Iit5SkY0cZcWJVFSwFZDxwuMlKQqpK+crQdpb+FegKszHa1ErRSxXe6
bCxw5FSnhMaxPnomdyq0SWwFBRx8OKCIEYl1yzPYLKFyDmieYxxKLP0uUMy95iyQQdeh7AO+P/xA
7W1YPgXG9K0t4+llGlymUC0H8oZWahVuSPQl/UmCtUM6PBSXOPr7+1gf3e/VYAYfcTl5x8GKkISF
IzuTGY/1dracGYZ0wRMweHXwnNgL32xxfMC2LWlwr7Mq/gNm978tCjvH7w3opY/uZxnYp7bpvzVi
/4ekYwZ2bLrf/1g6dldy1vg3/xWISvyz2uH3H/1d7eC4f2MaqzvLiGCh29Lf/11B5hqkFdmkCwGs
W1QQ/M0fWgfrb1K3lgAj8tNIHvqTj9tAdcYMGW0CkyRO8EzmvgjIfiUosz6HXj+12tG2EZPm8Jo2
Hmz9S8e/jyXQkiQGHTYgJWMJTI3RR1bp7aKirrZ2Ic3eL8LEZfTAYrWSMekmI+vfeshY+nGY9eI+
CWLjyab5dV3asrgbWptcDxPpAObcseJopqx91Rh8XTzu0SkGdbvG2lpyNJ5SG/eyNiVwMAwsLBds
/tFlKkoMCEQYG8eeRJIa23K8HA5xDQuMijaCCDUkmAtyWr4rh0Tabaq15hVAPbbBiPxMplkDJ7ha
M45NMGPx5SMoCEszIhmBPCK6bChn+yy1JiAUQ4IfpcNuHEe42geKE73A2FAPz3rOL7UGVtj94Cqg
SRs8CoJFq6Br4VZ1HPHC2bxBRGAcIJ/YDf7nDrc3A1RrH7PyOexrpEXGfOB7K7CQUxTWGG7gEAbf
lW0Rx5OKsX2qlAaVN+A3ezIrtv5i1FPw8qz8RMtEV2MfFPcVZJ+rrkUXeprqKaQ8p/NGn4bsqHYF
nU8A8Bc1K42KKvcGzeq8qe3qP9k7k+W6lSzL/kuNE2lw9BjU5LbgZd9TnMAoiULfO9qvr+V8z6qk
SxZpinGmRYZZdPQLwOFwP2fvtbmRbDsxCOpmQrIDKi0X58ZSP4vI867CnL4SMaitLjZY+qxy4+dj
tXPZxxLTAYSuLupL9NT+ld1RMT9DnGoHHfdvN8A1OcMrBgkujsezmIi23RQPBYdtuyQPSDTetWYx
W1KAL2t/9uygEGBai5BaUkh/A64hT4fsaesEz2p1mbF7124Xq5i3jpuKg9WNIz2brLc2CaAoqmda
gemzF8SrlEnzfVyK5lsL3+Kx1mfLxJ7VkJ+DT7T7KbTC24JMkGDXxtm/nmrOYvNs+bcGatZrxMyQ
jfypxdJiD+azEU4d5p0cldlG4ud7waZDEkQnwDvXpksgwaxHUO7TkuBWl+j3E1pLxrxPwl47M0IA
djgaXZSGBL3grepMP5UnsZ3ZlCPHur+B7GNnZ7E5+Vc12jRzJVrHuS/FbJ3HnUaizNrMMaxjB0mJ
Ol87ol3MfURmph+uNKDqkCU1bkQbzDYxgN8axDkrDQpJgx8Y/D/PRzGaIEn0zbj1UGvsItQXRh+E
oE/lQTp1r5/ktF6SR6PuiC+x+T9lyDf0JzeMtNsZSxCli5C6YDGcJoPsHuOmuCBmPDrDo4PgMbU1
5JErwyQVXDtEhU4fxTVy/Z4WXgLnFpsRKbALhiviYnVidlfSxG/QLNH4kEjiQDXw6+fwqUgnq+VN
2ot4k+TqiA69SOA9YQ49OKR8OwGvt4ZH0Az3VdsuCqVkEj5PI5aaU2o0Gyebop0mjY6o2pLfEMx6
QhrE0Bv9ZpbTdKoBPTipeh1foF/eVAt1ORXqkKp4B9+rpsOoIh/cKcm3loqBaKppP2qW9hND+rbJ
QzqF4bKfPJHuUVnCbq2le9HN0y3F9miDMVwBluwHEtOx5/Z9v1oIw7kcPf0G8zkhFSquAgBWzMkH
Y+Ggwiw8FWsRloSPp3Z5qqvMi3R2L/SFY1zTZmMwjSRjlM7gXaYqLWNWuRmWStAQKkujUakao8rX
sJzlImm8eY9dTq5jlcKBpkCs2EJ2a0E3By2riuvICO5ASUHDJncvcUOeS5XvURuAlTNTZX6o9I/0
LQdEJYI4KhskgXUDP6bZo6r3tslbgojKEilVqoiycwTEoiTrXGWOUM6n1JLPw6p3o2eF8NlEggyA
TKWVGJQCsa1V7eOYNmOAjkLep30rmRgjwSKknaDPz5XUat7KdhR3gzDCZ/yiGiWjkFA1J6V7gZfW
0NFM0ecPzIIdc9mgv/P9ls1fHUHUhDppHbxQIy1B09zrvuYYxVG2wh5D8hcNnoJZ4SwuNhUVwjK8
BbJ4KpvF/yelhbwWUyW3oDOML7BRNd9pKRKjsGCafarxpu5EP6jOnuHtik4STrQM9bd6DPVHX2XD
kLhXritgHhelZ5CVRrkhKMzCuzb5D847lSnTES7jvsXMCJ/EGSp8zkX7FkPTv0XS2CqdhhQ7gmoi
lVmTv8XXZIaKsoGgumwslW9jS2pmg8q8MRVieSniqeU4RBoDlhNv74KeR34YgcKqo37VaL32IGu9
e2TGlbAX+rE+1c32hmJ+dT0tHMfMNCs3nuRO9znTgAgefQLOOonYCgyjDVdDZ2mwPgjtMVV8D132
AvujWSzr4S3jp7WI+ynfkn9SFQLkqDggSp8DOSJEBE0qLIiqtHfWhMaz5ve/CGKOnkAeYkdVKUOI
F+5LlTvEO5WtOU8P1LdZ55aZfKKotfaTmT6HBBd5BglGS4UndFGpRmYyP83D7FOZJfHIddsXOnwZ
LTX9hIDGbNsK8pGi0B1WWUqSEwfzNBjegpQMlam0qHSlvHNUsiiJSyXRS2UE2qtYSGOiLqNjfXsL
aRrfAps6USwXkUpxQrf5s0/jO7xjbKXYXyQq8GlU2U8uzsaNHepGs8KWIQ+Z3ajNDP4/aeG0xFpJ
hlQZJi8GsVJ0kauNOZI0FavMKaTp7msr2pt+EL9CYqm8Fi++r7nfylzoGyUV2k8qxcqfw+Ws1rEx
u2bzrYpocyyEXo0q/SrDlrodVCKWFw1mkKqULLA7J7bKzUodcZ+oJK2cOY9UjHQtBPf+3sACi0Mm
3bfEgh0qwrgslcqFl6Zc5QR19SqxC8OAtZZmX93CVkeQ+RbtFaqUr3wm78vGNrWaVQYYSUjFqtW8
H2FkPCEZI2irsc1L5KX5GgXFdUOYmEGoWGGQLpYs5IzVKnGsVtljPSFkbjEStyR+dm/xZD0/aS1K
FRNUk9MHScTaJg3W8EFlm7FjcW8AiEeQecd0p7N7vDRUElpLJBoV0w2mrH0SA1WY4bdg8zbXqcpR
Q4tobKBvE1NIyNqU1c5NOMUUdcfEps+u0tjojFeYELAgDA5XR2KbxSf9TGtIceuIc5MpCF42mziu
LkGRRSDT/VNQa1gOo6Ax6GjEmn4Zjh31BogR1DEwLMBPqYvnNifyfOmmu7Hrr2ohL0HFnrNbA/Dj
EIWSy3BaI3iiQz70iAFSXnP7LbuOgqWNrVVF2sFW9M6cguTQ2KHON8Obo1VeLFdGW2anb6eZ/zn4
fYF9RZ5nfXrwO39Jytc/LEP//C/+Pe85OH4IOLEc00AYRuEB4di/Bz5X/LeOvoodMunYNCz+34HP
cv/bAhRPZdbXWZIMHY39v+J2wF2c9jiloR/2UYKhe/+bA9+RsgoZGZ1S/g4iRCICnCMh4Awy25Sz
ko6H29nf2vO5l17+dgz+WsyNiBN1vw0/FRUfpzlxNATaQdUV8JeAbCGccp5a74Efc0v/72H7PxiF
e/m7yrkN/WmyY0Zxy+dOe66mV2l/oRVXf+L3o/HxhRzpUqExWfRsGQLOs6tfE53SLN8/v4pjvaNH
UIPuEvRqQfTxjGPdsjPlRjloeJRHy2tWg0Y3K6mr66Jo9jBviy+Ude8u6G20NwIc9QbnWNTrTvYk
7crlGFFFFKXRha2SwiVlN6rzzecX9tFQyOtd3+Nkho/gSMGnd049UcXkwmIvuptSC+oZ++9zXQ7Z
F1LlY0mtuofCwKaAQQ+unX/0mERmEwhoMlTZlv1ZlssscDBRr8NpmVZNNBX7aiBy7O+vj+0W+3mS
idCrHg1qJyFGtwqX2pxxFw167yunpWsdavzT50Mdy5bV9RkGkmUlb3cs5+hWZqZWL3WtsbOcQZmv
8pA8SK0hki4z9IkotLa5qmdiDbN8ic/7fJq+GF+9r3+8Bmp8UITIhz21NB29z3Nk1bGeRV3gFWTk
wFRSFrHx/vOLVBdxPAgcZmyWdLyQoBp/vs6TqOQsfaMNpGzE3h0hrUK8MMOL3NCXYJkNMMe9P22r
tmh3nw/90fwxDawZKltI0bj/HNq3rUlEhtkG6ZjN9NxtSWCfhgvb1fS8WdFbBEURswX8fFihv5lN
/rxoiKQWF2vwURDi2GjU5VqdRrBHAPOX7Y8Kyf9I/AlROfQyF4pFWQ6oCAqcngNdwW7d74iW5RHQ
5d7P0zDuk7ptH4yYneia1k26aaV7bdjErG7oP45nPrGYdIRbfWNK4B+CVJjbRDfouLkk8UESRD7l
pm562jkDksoKgYhH0KPnddu8EkPQAwYhDifW6T4KZ5Npbnye12zSs4bznQOBmCZyTwtIz91TWCYO
mmAX+G1sz/E5pTeHmn0+rxeIYdtYs4dTGRU9E3WS+WYB53/W+9BFiEzIN4QBgPFymx8OMHv05USB
ehoYbYLKMQga3ZmVGfJ+KmfresSqutfQKW0rs01pbaks3l5Yuy5jDXXxpp97qDq2qQn+kEVouDFd
yR+hCXCGa3zeUhAwiPCaO3EehhgXKwQh64gj4HWYDuMPXxbz9bCYPf39cGIaDCnjJcvrWDrhU1zj
3tmQ+7HcI0i3zc24iNe2nTiEIp2Wv7TGmuI1gY3yAaS1F2O9kdb1MOj8IXWDqRWfV0gz4PeRI712
ZtvZFHUoqaShbVmB0iNDlLJGveb3Zch0SK7o81S7SCPrVXZQWsZZKjjldG8txqtf+va3ybDZifZa
8iSzKT3RZ8R+qzbmRSpH61V1Qf1VTD5ekDasGCmCbrIUw0U+9Dp/r5j4HRQFs0Ph291DoqY+4Br3
tPD6mC7MGHJIbsWeJMv4esyN9CQqzWHjt3A9RzTrRJEZC0IgAo6his8hjNpZp/maexGpYpYR0EBn
AGMBUd2kcj8WXhakdjrcEu/T30p2+OgL/I6J4SWgOqO5Wul5mB2wMlgrS6v6Ldxd69LzuZ1wQsky
L9DvbSiouhdy9NP0JEWaC10Asyk2+4QyKEgmcWMBGEKQnei3KWitaaX2+ZdgEdJ9HEX6Xlht+J0K
iekzS7Twwhh9dIVZjIx5ZYkS4jfirkuiV4wNCAVnDZLCOsx125w1lGpvOBkOJw5xpVehZmr7ro7N
K5f81rPRsh84ydETI7ZjROkz6ChuEZ2cNK3M6bdO+bTGTR1+l6jOV349cogyObLvKyTAv6w0834h
aZLrTuvG05ba4feYsvk26htLrHzywrYatQg0gL66H6GeORuxTBBDO+5kN0z5Fpq1HohOzAF1BeMs
jyLrjn4x1bnZo4ZNnq7Ye27Z7u3RGp88IxyeqfHE13rR6MGQGLlDmXWilesmgMgLlG0/RNbJQ1P0
xUUPCvmlJV0JXknkX05iMe9o/KIj7jpkBVNDhX80yFs3Kbjsorr1roAvly9zbI/XVPCnqwme5MXU
Nc4ZGKFZMcDt04yUy71obHK/Zunc1rPpbSSGoICuqjesbZ28u1Uj1OKVG6G8bhcqkKtFDzPChB3H
3uD5AM4SjvovC4ZjsYrzKr5t8IlT1XO6QAwsQhlpUXumBoJ1sgcAydTdXlYED2+6Ouk2bCitba9b
zWk+OkuKeKiJ7xa6fNEqIuNa6StiEI4+Nndk5MuBXxvdGaSBHOZsbk7Ri3KOs0MO8KlT6iS3Fql/
QgSEvavS1EEFHpFe1/n0xemfbGs90vZtnCUFF2AyJyhVIG3wdbnV57Y9+UdJEFPr24Wk1GzdsA/b
raED1RqIPgF0WLHBMeiMX5VsAr6PjZQsY0N2TRgqIsdUn9eSVeA5SfyF4FvXDaSRDq/44pcdhCD7
9K1PPlYJpT8PY81Ll1XiO6BoROY5/dpfnY8rYu4mBPtCR+Sg2upG6diwxOiH4xQCvLLYrlI+4GLt
PLSMg5fRgmQOExwxS29jUfFHjauGpOWAmgblDfiiWcHMzVyJqaDBPLqThMlhx/xXrdbUgAjRBH6T
cFDkNW5QAtLutOLqYUiKYv+WZ4YKI9wmi9D5VuvFmoIKUWqTavBW/Yvnm/LEcx0vW0V9Cjs8hOPO
5x00ytwOFz5CQxQKQK4oF/nJOQXl4VxoCoiGQnoKoJfOBiVbAWwFchuhLd5QHNJO0P91K0f2She5
gNut+cH6RNqOnyAPEVOnP72p8xNLqXHeLLx27ZGnMzrULOGXMWyCMOYwkSFFEwARQ6USpurEwcYH
SF5uPRNKAnB54v1yM/75pgLIlEKhaB37NBQVVlynw7raEN/B2695ew6i8Pvo8zyMYOr2JTl3tz45
QVvbInTNk6hJojfNkPrYkctAzSBFPzM6KHxMQbu88mlmgbOdrsx2tl5ISM+3Zc0Ed0LSAmHfJmuM
e3KLZrh8JZ+4P0Hr392B7lwemEjRFQX76FKmvU+gO9Jdx6K+lLR1ufda03mSnEWBVyVGeJaPJVvx
t24/bZPpijgeMGKaPrwOZajdw00OUe2QXrDxNOff55TJKfw16/zYyTKpU1q1uEADo91FYcYiQ4TE
Ic0NcAT2lHwr+45OZTVMO03v7Uezn63HodWsx9Su5wu+VM4OGou2mZNE26AnQTcWgp5cIq29qUAm
bKmkFFstM6eLt7subdwYVed5l0am7/SyrPjwdemp3aKbbyrwCWW/jOuKibib7Eo/hWJUbkvV/ylm
aW7rBo7f1OoWLzENxEOPduIy9ER0gs2DYv3bXF48gbNLswCCUmo4XbxkunC7MtwiXY3gaktSNuj1
Z5d6kxYnDmrCJz+EOy9D7JQrL+FjqC8Wj3/BpJ51RHGLBtFTNPpmAWwCHYe9CCVFweaSzdMFi8J8
YtRheem2y7JJKruP0I7U84OOn8smmn4kuBw4N0KrjB6fDxepz9z00sxibdebCJ6svkA3Ni7TlYD3
SNenni4bt+PTDaZL7l0aFhi5l8LNNvA9QoCSIva3fJuGEyrnCzpSq0P0LPNSrAk2q+563Ie7ngWH
PRAi4FNhGZIUYSq+be8MOOER7dD8rQ8NvqEdFm9tXjVZqd39E6HqFQM7ZsukDzqg/NKjjldT2tCm
gJ3hx/WGBpVnrRLfRJk/6MjrtkWNGsn0E/H9zQBjFZgarHEkysv3EM1MSWWCTlQ+MZwC24RuPMpm
PF5t5roHZ7TmrSfn9sSbDeQx5jxgjip8Z5hWcqC7uaJDvFzr4Hhjosxz9EIh/+IOTmoE3hA1z1kv
tXStGqFXqSlUesvShEEnUmuf6OZyknqhsx+bZK+u6NKleLlG8BJf0DmmUt8nxa0xZSSae8jUlzrW
aHhU4L9NG3TzXM6AA42yuTUHE4NklminqKSv+np24bWiPR1T7dVr4J8Iq3wiylKs8nQOz7iMbJPr
FSunHXXtzvPacVshvdmHIVrhkn3JKYavFktgo7tbdogx4mS7WEua/wb6E7qmTvHDLbUf6Lwu6SmY
O2MaC7Vva0682DUgNyV3YxUDQPfAnrJa7bkRwxoTMjH3eDfQPntPWgnpAHoKuKeEuvXGG6NolZmI
THVP4quwqQjnbs31lhCu2VUZjsWKjSy8Ds/rMo7W2RBB605y+ihk1/TwU9L4OeoHO8hAzSyruZ+G
7QQD+baGhQCEM9Ip2xdGfBqnTn1Vlln9pEVQYvmqgxnWagTYg4srUGCN2uRenZ30w7wcjMQH1g3W
OSAV3kYMHjXWleW1y1UaOe1tHSXZFteHi+Z7Uj2UxXG2E8h0yt0xtWx/SXcweanG6XlyiFIxI6qU
BIS2S3EqAGmi5cttv92MVYSWYufBospOu/I723vxjVhh71z4vdTXrWFX10OTws8xqn68Cpe5OpEz
LTHi6rud9LDBGEVB5nfmawhy25anuJlC+7sVWwASh3iZLy2Ix9elTfB3Dwbjm9Oyv1rRFDIuZs+X
37I8dg8Z/NDHcHZVoHvZmw+6+kI6ooDnFXtxMJVlfxonHq1tWmaPpSQwd5LNeMjtaDgdtTn7IS1V
3Y4FDxeRTXg1uHXxs+hcfT04wnpBQFsZvCK1exDQX87o41NdgRGBwG0oocglHQiaWZPWvUl8zRZP
h0C7CCrwotLm12xwvSejckuMHIu3jqJ82WHQS9fpQCeNPd6CfJaA0H7VaxPwpLllJUvzNEjrISc2
2NV5vHxtDzOnCqzD5gKUx9tEXb1suqS4Q7DwNJWSghar/IqarbcpfbTKmagfWzM1N5mDlg+ngNv0
oEp9eOK+U9xVWVGdySU3TtoW1T77+WIOIxOdfO31WmB2o1YEHJcc7ZWUd1xCY2ufiN7xHkiUL1ec
O709pxh4+FoS3qOAk2d8FPMrtorpyyTM6j5tsuap7uvJ3deajTA5CZsk2w8VspNVlrGlsTRZXlum
GEuwjOjSstYxaOC2I5xno3+NRg/dNpXds8n3ylOTne2PstZhu5HetHG07GKpQCCib9BItMJmtkYJ
DCJ0qMcYy2wtLygERhcpm6FVSohJt/U8u8Hk5eBJbFMDZr77U5ZIVnq+aT6dY4P05lAuB7+iKZLp
FBksgBIPU9uZfLgAKAlCeq672qy+UwZ7ttJufMYJd7v0ePh2Llq7jYbMbp82Cyt7rZmAnPv8FtXN
qJrjTXtj6zmM09DBuhX3+m4Zhh5NIF1OzausfQyo6szIHIR1WdvDJyp8zqapEX1Hdtihk9erlW1q
EUaDyb3jqMP3BFfqc1i4+qaO/EdrssZTHRzenr9iAEpo5K2VWD/d3GsvB4pakEzCYTdkGJ64b3N6
7vvLuB9alztWed4eYKRq5frcFDN0H90htu6SoaI33ye8sC3QRTDyA+5Qx9/Zmr2XKJiuOIM8sCBn
l1O9OIemQRsuR+ls67wMXyo/I0gGMSRlQgjw4CAxbwBmx4PWsrudQFmto2Esb0rkDOxw4UcXhTyR
3lxch4nmXLmNHm0cUsUuRDyYv0RU0uVGhbJtCeg5hGXcX8Llj89yFC63Vo2djYbVEmr9t7QESRWT
IFSw3G4Hks2Ajk36dRj2TpCPOMkrmVV74q3yW8mKuwJpWm99f9D3bd7fRT3KicnVnYMZVfNeju0z
iedukJIWsEaaOh1YSDVa7P5wxlbOPYxEj14QuJWx/63KXz0RBbBkZf3dxPD9rfNkj/Mjwl38vSKA
Sz8VdR+eEkaWbqiWjEy2zrjrQfiDRgWF6V8keRuBy4QjP61MZBT2rikpI6+9uMVSMbf5XVnQxivs
GX1coggOlLDusL4Sa4KxVIdhhQfBbA/6Mv5wbU4NoFCLNZsqDkkNLpJFIJlGTyO2HCcCDTPSgfff
fnIL56HARUW6RRUF7ArzDeWOHx3x1ZsKXhbWFr6v8zgG0L1fXI4gU7qc2a0OVTV3qJxRJtJ6T/yw
kG+dWhURIE5DmqSOuu8yCkUwEJjyK3ZM+woWnHHdTf6vZrK0h4hX794w3Dbe2F1F6he2rXDTkV8I
O9au9ro/9VsjacoNyDf4xRjRv4BTfNQDMS2dDzQlbgPs05/1V7PzncpNqL+6DTmrohjuHawGQeRw
uvXJVvsPKvcQoujRQzkHsntUaY7aRhcYQRiuk/ZdYzR7TgDTtgld/Yt2i1CV4z/ru2Tj+LZhsQ33
EHoeV5aX5d+itrP044/urUg/h/3PCZESAqFcYJTH6OB4i/4Sh+pEiQrpP6jem77nwJ40gQ+96x64
plwwgbcYsiPr2iYU77yOqJN+Xsz+qN3DI1Q1bGSk77BKFjCC3irowby1Q4BjU4/052klrLT+4vl9
1I6w0E16lklpDjrNn9Mlm/pymEFYByOKqQ2mqWfHq54/v5yvxjjq7iQ2CDre1jbAPXu+AA63vOIr
1MlHk4P5J3g4TA/33eTwU29sDdkGNR+w86jXjYMBrXG9DGPyFGu0WvCmgA9uqbXWJjYvyC1ftXbe
v3oIfm3qqLx/PueXo9aOZdf4xioC7yNB8p2spLMeRdac5VqK5aP2y83f3lfGcz2fcE8bCNfxu0dG
jO7N0B6CopxYpZyZMEzhfrGevJ+LJj101NPUdwjKehcdGgm5tFneEEMVKWosCgvM5GdkQX0FE/tg
JC7Cs10LKbYScf85FX3iKZd59qqApQ15mdadmrN7V7fpw+e37YPHJFzL0AXPipXLUh2sHy83CKa6
//2/xH85dZGZfutWwZLo2zZ/0TwQ7VmpnDaHz0cy3jcbCRH6baijZiMHVUdZ9mFEDD7Vu9KKVsXo
SrhI/gCLYyiX+xld3d6mCNpuGosSnw6d8xvCLuRwiyGh5rtUCTvO0kVrUgUrLJw+tpfWB2lOOIzH
eDkPczaDVlOauAQpGbO5ktvckKk8uANx4GPVU8aaATatOWuT8YcO7osLhbt6vDbTyqS4r/MCCKAF
R2tzrpKZ/LLnnnaxfPSLUr8Qg3czO07yUiwqQidHVoaT5lsL5GznZvCKQc6fOAAhEjRFa9GQkGH0
90XI7kgSC1RWxU09eucL0YmrosoQuuIOJqsWznvYpghDyZFGQD4Y7kFLtX49WZUV0OAaN1ICZ2Gc
dMM53j3LLLQMaUaQILKqeONH4OvdiBwRvj4+d8vQ2Dwunf7dDfGpfD4DPphrBtJ8FBx8s/juH821
sBhICGtn7kuqdWeD8M0TnvoURGmLO5pIoTH4fMD3nV80sS78XNANoBuPO7+Y0clOqYsq8JUckaJL
sW2iloAEs5Z7Ql3lGSJX/c4CV/OPwun/S5v64PWlra07DvpiIEPHr28bzYMW904JNmaenwZnFM8N
Rd87CGXp619fJF1eViMOPPz/cQ+d5gibzrkvg2JoKY3i5AcbXvfYBdOyPXG6jDzxji4b/FeDyt3n
g39wneyrTIeGGBIJms1/Lh9uFgHFq8oy6EJEs81IRLqCfHkp+XZ/O5KlFini7lG1+DhU/hyJg2AX
QQzKA1gTj/NcjhvDQ5nd5qb519OU7QaCKYRRyDDegcLqrqr6aOjJ3hA9kXwO1RczvRxH29lx+vz5
95dFIhD7Gwv0nn382YrQqZdW3nBZdmEGWj2XFY0ECrsdQYVfoQzfv4CWTvw0Hy5h09U6/nw1NIhj
py+4Ms26i03tES7Jz3Qy73CCfbEHUe/yn/tThkKf43BprPlvGK7fviuFGSdzqdGNhUezNSmY+JWd
r9yc8IFFYRxIcfhignw8os9WFPoxL93x58WqXa9SIzZiOGR+/VLN4s5sswabp4N4sjfO/v7RsfFW
zGyVd378jttgNsEuuVmg9f1hzofAsrLLxNG/GOb9htHCRYVGxlRkQeNYWTV4+pQk/Olg0AxFAiut
E3KutO3nF/N+qWQUobPZQPjuvKOzgUaYyjQVWdCaHGs57mEm7H+5pXOdNpKumrcQSF59sUoqYPq7
WaIWDhxnNki+Y+R4WCxYv2NUVb4NwGzMCQlal3WGv9inVbeUdLI6AhwAZFVWFq8JCCDisNPdvZya
6CSnmbQb2RYts90Q652BlatrNgdqW9Ao9znaGOfeN6D7gYKxv/j1Hz4YiI/MOAEs4vjB0JeMc8qb
eUCJqtyms58etIlix+cP5v0Ky4NRYHYf0jHyR+PPda+wGj4jUZUH5I3nq6oaAj0Td54rv9q1fPQo
fIe9LesQeXpHK7nt5mZZNyUL0VSbdLPD+GRy9Gn3+dV8tAIBqkePCGEe1Ze6p78tCwu82onMgQwF
ASiDweUzBfkFM3WXfx9S6+930ZwZkYnyyVBw3OMTKtAzh0hwXtE5C3+qe9cmznXRho+fX9VHLw8U
fsdFksvB4HgaT11G0kTFy5MntneVzYI6e2j/pOJa7drI9n6MOWhVVCzdF5+qj9a8N/I/CroPDj3U
T/TYtIYsiCLjUpYa1vloV6cPNYGWvIhfjPbRhOfYYzDZOVm+UwtCwUNHBrMqqKM62xeO7V6PBjie
z2/mO6Ao4Fudm+gafI5MZM5HX3q/Nyai35os8PpRf0BsX+00FMerMMURQYHeHe/R3FfrvpLDZTOX
GZlArrmPPYRdC/QSuktpvRENcDGM+TRl+z796nQrPrzzLids3kyctscbnzbsdHssCr42k0WtUDYv
Qvog6k0CjRLXe+yJily7dUwlsyQyLRuH7oQYxOeYtu5CWPGhJmbrhCqSv3JmrSbTiev4/EZ+8K7R
2GIL6roENrM//PNdy11+QzKx3cZE9LNeBBapGkVVmNPEnl8+H+uD24EPmRfbVopVdt1/jmWAHcRa
LNnah+KnTsGBBFr9pZsJHXL9MoXO4cgvdhgfvHRCULZnR8MX690We2jzeWqjistL7ac4icAw0rqn
mNkuKxMsz33Tjs2GluwQ/P21Avv2VUWKDeLxSmmRkUD2b1cFnNUugLu0yHPza2TJEUij6AEzavTF
1uajJ8mtpQxgCE6/xyRs3hXoP1ZTBZoeNWuswrQmyWO+HqHdBYXDQfrzK/zgm8MFsocy+bCxWTx6
A3HRWnFScWunIULCbbXjRm+qZmMii/tPhvLBnnkEkSO6O/og1K6VyKLkiCb8qryy8wYntiud06QX
4ovl66M5avJCKR+CkjwfzdEBXUy5UBkIcHbfgXN8te3mjhSHdpVEzTVhzvKvD0csYJguDAjU6MiP
X0AxUXA3uqUMFoMcMd0db9q+3dTUAb4Y6IOFGW0xAGqTyjM2DvU8f/uq1guYFh3feJBH9mM0TXtv
ae6+mBImf+NoQ//HGEdzwtdSYrgsxkDVK1ZWktQH2KT2jdE70EPzseMu6jAxxpYYQyeN7quxdVEM
0LDpPQKXRtEjiSoT2j3ETxPnLQSkPjBYiSnbw2JZ8bXhR9O6nEFzhLVe7osOhQanW5J/hyjE8+yh
1tYnKDVCYWzxuIqbxS9QXJQCkGJVdO1eH4hz4QA1RZdprrM7rBQVLEvay3hy4z3utPkkhxR0MZhx
cT4Qjxp4mX+XVFm35g5nZO5SN13FqIUCFErEp4xLvQ372EYxmI1nlUW6prL47j6/vR/NTUu4rmCe
mCqe4s8nCPOykbPD3EQr+NJM8sUjK80ytR2eaGhK2Og/H++jN5w9N5s9yvco44/GI6isbMxoLgPZ
xKrmdDEa2ckoyy82r+9LfirqAoU/tUzKdG+EiN8mJqTJmCAgvwxQkl7XddIiHPJ+NNk9nahzutLr
3jaeo7b84shkfjwuVVruKIfr4w2ZX8M/rkebmkg1L0/xRFyP11raNWp3Pd/SOOeM0yh3rsyGZpOX
KIWgGbKQN8ZwYiP1tdNROzH1XtsJaZXrEHUYE67eY/ygjeWn320xcFCf0APBIiUyUgqH2gvxo5EI
b40MgJu32PAXZGoRXbzAZUn5PThL61eE3+Iq9fJlD/C62eHo4t8v8ObHnUy3LtC6h8a0v3oUHz1x
aCCCeBPKDKZKm/p9jUj0zi7KbCjJiX4hdlEFX+r7TBCw+PnM+mgt+m2c443RUA9FXsE7Djw719cl
9YZ1QWr854N89EF0wLQrSgn2gGPmvN7gi2zg9QY0nbz1rFg1uvFYZdg4427+wnT24WDUKzmzkLf1
btvrtCxGJZ5URDhOwUl02YN53SEDQ1Apky9u30cLgUPZn68Flr13m998nk0nRUpBVmN7bXSuswaR
+Yjr9FUmmLdi54s7KT6aFy6nJA6weKnc4z7N0tU595d9WjrlYCQXQxy8pR1PDGrxm8rU4sCqG1Bf
tW/eJHoYB3OEshmLPDnzkZftfILE7118AWi0wwiywOdP+sOfx4JIGYn6rX+8MI5T2GlZzDZnbOpX
048eYmO4zU2ayf/BOMTcoXbHvfZuc9AN2hxDjCgCTqI11Rz5Us7auKn69osP6UfbVopTuNcg7vv8
48/30Bx9ZNwIsAKJcDzu0LmN5XVb2YfUE5fkp90Vuf9FoeKjCfzbkMcb1nQhtLyy9SLQxmkf9dWr
b+UoXJ1DWw1fnDnMj+avSmCiFk3OErWkPy9Pjp5VL5NbsMwY87OM61/A4J01DFQPzAMkfQWGWxes
yLiuleBYE0qe1aL8gWn7CEEmfgwbcMa9gWwZawtmg1i2t9Hik/tS5li+w87bTe7oPXg2qyYk4w7V
hNaB7clUabMyfumjgaYdEN5U6yQ39hd4EuutZMuXeMO4KmYz2fbFbPwf9s5kuW6jy9avcuPO4UDf
DO4EwOnIw55iN0FIoogeyESbwNPXB/52hS37WlHzmtmWKZ6DJnPn3mt960GgvGSzN51fPE3/dBWC
zalLi4Pn9ucBbFWJvm8QKR9XsZ5AlxjhoNvPUMMu6Zk+DzlRwP/++P7TLd7sGTgGPZqtP192URjp
IimGjrkENjeJscPDv2HprHTLDO03Yeq//8Z/+Irs65vbmAAuKvefTpeBu/gwDazqCJ7f3mUdwKMm
o0JbirZ/LkDEHNEhffv33/mp1/ipCEV7Y3JReUU52v70dKUaxBHXr+qjW69BlM2j+2BnxhQ11uJc
EphaPQHfBnpnI9n61Cn7Gdy/elwhIaMlOmgzHPdfXHrjH5qYqBLo+myrtve3s2+qnJWcVd7ofk3Q
s1lkuqNKs/Z90m0p9C7py66DfMqBf592WbQwk0F+bf8qg8b6h7Vy84UjxyAsiUGb+dd3T0ca4dZD
XuNbLuBnfoqbcwvmIQLLxrnkdnmnoUCSiM8CPHVFExmYEXNUQJLT7WzN+n5ZEjiDNoW3Oaz6C2Vx
c8hmHilsE+UeZY9zQJf7gwy+kCV72tluke0QDNpxpzXDMXOlt4N74EGLuDTb0noorUbd8NriRFl4
EZ4zfwwuKt171aFB/+Jg/k/fnwkYHnRvm9D/3Dii3VZU/WDx/atSPZBPgSDNVflzbmjZ/t+fxH/6
Vagv0RrgRmfb2KqgPxW2DJ2krLdtifSJLBbS3yw9SpQXQValz//+uz7v289P/db9tTi9sg3+fPxv
NLca5zrncDBBYQ0HBsY4PlbbOCSinQjXqIxLo9WT20GZ87VpaumdOYCfsq1KHEQDx/PzA/0vvuEX
+AaTFhbL4H+jBLZQ2d/DYrfU2v/3f6++wm3+2rz/meDw+w/9QexzthDCbTCsc5ykOcBC/gfBIfiN
6gPdEaO5rc/PI/cHsi/4jQkvT3Zgb6X7nwkOlvcbtQTHK5qttsduaP1PCA4/7yIEHLq0yUk71JHR
/M3E3+i4cuusBHyQGs5KdJXdnJnnLl9qA0JLmjq/wiD8fFjgF3qE8LBj8cn/3lGG958N2uouR0LE
uztdmzD4uHN++NNNuP3Pm/J/EAfeUnQOyFZ+Pg3yW1DlbiZ+h6Xxb5vjwKRukk6mjsuA5WE2lbwr
2w7kjGeLna7NVWj0tLhsWWj3/eypL//+6wn/YzX48wu8FZW8uEihfJN7/PMxGKAbmNPFG45t5VaK
4Its3Vdehh8SocRZmVl3oZDq9gfE0MRXCNIRtvSBnEqpZ8r6QICDkYbQmDA0ki0D5tjAl+Cvc7lf
IKthTGkX2HhWpUFRVAKHIHbCHrgputvlg85CeW8VPgkeeBKOmY0RMvFcSdSCI1+wFC6HLfZnA18Z
Cx0PydoW0nBdj7pUxiOaPHHdga5/xO+MrcrCMD67vfjq13UObKmdlo+s5xtNTTU9VWOzHPpCNQRJ
41vGnkOU8NyazTlLdNrf+SJeSZnkB2eVB+ceTuuOijy5DybSaOKpF3p74lI1dZQS5gi2kMXXOgBO
4mvqXo+BHY8KqKQFKqpqsxsHeTZtmQCRGVYSRPZe3t211WRBR9uU2sXgAUJ3UQatlgKxp9dzTCBj
d1GOpryDs5xcIMlRB1caIOWQGe0Ma5ieCgDqT7JY3QfujrlDEUN2kUlQy+gq+X1piZBMPSqPfG6W
Lzj429dRX7kzkvX26G4ee28GSGsNTXB2DYJ0pcyWjxmTzBe940cWveufXVTa50Sl9gnjjvE4Ei7x
XAxzc1ZtG5zrmgorJpDXLkK7RsIfuuOqw2KoBJy7pIrmZjJ3RGGU98LNkLwTb4QXuu2+2wn/mpYI
BKMUc3R6JDQCxbk9yu+q53X2tWE5uPlYnVqfm7t4Yo7VWED27i1IFzsdZNtJ4Eyjc0Hwi2dr6qAZ
SXmfIuEjZCOT16QlOmTZpNOPUl9Ik8JtR+9M11k0jPYtV3J6YtyxXgVy4q+yoMuJmr3LUHzjYNbE
dVJuL7smnRst1ScknXwX1y6CcAhAOk54CupwyprpB6l2y8bKs29SmzuRIB4L7UYscQ32vQZMO3Jd
S7DRXhU4kUKATciKAv2MvyJJ7l09kd8ZPq9XzZwtX0w20gOJKDiROlnuydAY3vXCNR5zQLgxEakw
xjWubZ9yH4ln5lJvj2jVwCJfOr79itkhBerPnbBdhOS2wfPfIU95rVIvuaj68nXW+pEAsK6+Sf0P
gPn6FOZa7QJvTGqTnGLnDcexfDFRrj+lJs8mvosyP5hYo2Lbrt5sEGNkfniCDD2Hh3JDGauMG4Wr
ctgn0hY3gmCfm2CYnZtxSYzHJu/F6wgy6w3nCk+rh0cWElz7ZiEnvywwZT8ofwvu0Qp4yX4zt19T
kMLI/KxFQ5YdlPHnl/MzXoK+7bV7tYhmiFVerFd0aWGIcgy/X9oBnCLN2IqsFgOraVXUkTvr+XFo
TRCjCp7oAaskoX6Vq3Ob6nL0tvAp+WLkuP2wDXuIx01LXg8u7k7zmearUbqvU9vMw/e8G+3XHFtG
mR4na21sZJar1oC+1OfxCgJe4lzMqTXa9xgzsejZavli4AyOWneELGY4CtmgXN09z6FD1AFNeVKD
1MDSNDbXY0u+D/ag4MLWyttB77W7Vq/uNWe8tmtR7zGQOHcrsPPQ8chs6ZyU7JfkmqAD4qLo8R1T
c81OtVl+6Rlc7sYtvGi0l2+5T5KYPY3vZWbWJ61JvxMtmJ2ylXlQY4zi3NbTvKucSRGJkg7vBqaz
XZr3lziXkj1qYwPLbhnExtIBR/CcFBFDml/bK8FZZKFMSwTz8cIt/AutFAD3KtmsoQgSeUJ3g0pZ
U+RY6EBi6rykJ1lX1UcqVjKn6CGSudPbS0Si9f3SePnOrLXgssDCD0CwmLGt8MLi+zQu8wWd+hj4
KUGZ3EjTmPSTTvTOsfZwF4rB8nftrJkRsSG8ls3GOdARKpparV/OTh4cx9R4AMIb7Gmu9GejCaxq
Z3Ltv/diniGncixFubhyDzl4DNMRPx8JisZM0FpCjkJPwkZj6iMazsCgSxoQ0+0kroyXpP9utfN4
SJ2UPY8N3N9jJ5vCjDz1XdG48p7xrIGvrez3qLYyxRBOgxfuqzefKE4weqW6bNTmL6jK8hWrQutF
rnKXQ5BP5EMw0fZjsgtRl0y2RYVoMQsygDLasEG9E31GU48XFhEc0aUw+1DwXl2BzxSX5KFhfjd1
84Rmoo+tLOOt6ncA0WXY0HAJSYFxLoTbqS/rbBVRtxmYGUId5yq2Jq0lwMVdv4pKd+i21eujKESL
J7cPjmp1glM9JsttXlprPCWjvChrYUeuWWH5cCEaVnNa7nrbsu+8nhZzm2yqg7TDDqkLfy+1iRnL
FjU3OxD1wLcWL56b4pXVl3lvJxtbM5i0vQRlgFC2vqsMjb0cQswpzy1lhSgn41RLgydQG8YBjq6x
c602O/mTSnbBnNhXLZ0/Qo9m7Z6QQP/akOtysYU7V6TbBcAOpNvVP+xUXmM/8M6BQvcO0m4mqqVC
N4ZIJyuvRL8aJ8G0RUY52LnLak2s17HwFlCEzow81yRm/TJbSOOCs1foPwR2oiq20SWpWC/06bRK
GUSi1rrDaFTO61yNOUF3ZV6c7SHtv9dW4RId19sTEzijMVLnFUOQDjqq7PHRtQ0qFE015d7LnOlb
WxhtNFTzVhcIeYfvpooR6zftDpN+fqmpTbeLPbHwePzq7IR+vjsHsm9tFLY0DsO5dXJcin7SR3Cv
nZvFTPIj1EPxzRQw7aOODMHt3gBs30qkorDYh7Z0wcLpm3NgEoLnN2J49wn/EsxKOELv9bJnw0H9
u3xwjiZEYNGSe8HUgXeA2MSzl+giiVNnw8RneU24knBuVjzo91orBF83t7L9WOYlPkMmQVFNkZfF
tqvENyVGplsZYgucv+zOyKLlxX+KLwmc9hHHaP8uoPj4semAgw2NeusmqWUxd5Sh7oMqJWXZVjDi
bp/sMi4yszrRuG/OFfbvo633ZEi2M4txV6RFWAvijuLM6dncg7rV7ps0GJ9y00pv0ppKo3FccZ2u
n58ikC+WtrENEim3RZlAwo8BgFCYBx7lSSClccsy2LxbwuUUrKX4oz6zOd2UhSisOz7OZjw/ZIY2
PmU5YQShITW/IRunWw5p7S6X+kT+I2DROU43U1hLsfWKzrSO+mUrf3EPvXqDqmAS8BVo7CC8qtXy
gdEgP6g1aYmzzAOCSmawFsuG6QxbYVXQswL5C7UDjbW/HSIwNfib3hDExDa0+2vLwRk1pJTAlI8K
5120eLkodrIOln1L3F8schSxAZjzD1JrpyPEEjjGhvkVcfwzYASLIR/blAYePB5RRF9NnWm/TgJX
M7DR8lIHRv5morFTWHggZ15iIPaJLDHKWLdJqcgJ/DjU3MJjGkC60Y0Mx56qqROqOjizcRP3oqzl
Et3AHHcS3Wy73VkTctD9lHbug0bCAOGkqQ7RrLFtLbR6nm2QZNQbc0t8+ciDQyIFtRKHFOrBtOR/
Wm2PW98BA8FguNVIqlnlXYNelnuJxzG2gaO8BOSZANPMaQaSnbIzVSKuS6QN52IkhmYirhRPYjY9
pYQho253zOoNtHzpXgzV6k1QZOeUi5QTpKepflA7Jy0zPRqFlVSYZ61ixC8OVQkIfMwXasynNoGW
00sLn7bnrlV6KtlK4mTd/kNCIZXEOi43N0ogovoTeiTfvGSy1GPdtJRgFaSW6vSsaMh4y/jGaRO0
O8XDD4BGUUJ5CvaItlBccYzRcZNRAPa+3T/r+L4jDL5O1DuEZUZ1QCSJwnGMi9AW35ZiLPddDtd1
nNjV9HJej7CYKOSyxh2fhrx68zrqdoJAxas/V1Yed8uWT7hdu2DzkV6s69b7czLtHlOtdTJ4Ye9K
a8oPCTq6JvKdoToNpNN9BT3bfrUXgz3ZrEwzbBT30xr87pYTgH9epI5zfuaw5VZN/9yQJvqssBKf
dDW0b8NWUzdZUEUZuYRzZK+VIpWpmkcgsWl9AoNBtdh4Vsie5d3VVjc+6QYRsGSYtF+dviMfxqay
FQanlrhrVt68oTX6Z7PgIC9lJa6JN8IHm9iq/TokDY1wf6AiTWwbN2PrrLwjPZFwwK0N/nDQV/m9
bRRXpV4JXaUqD53cXo/ML+WFFJJuiMkgI1TBtnRlNTQdZ/E2Mr4pX5Cg+mdj5ngLqSk4p4boLvLF
a84uuN8Ds57l0OimE7V+Mz0xguJYNS/5wd9O3kyIxHUNUfvogeD+wjBo/fB5S9dd7q/ilQSD20l5
4ht5TRxzdCe9MRoblsCcMRm0+UsbbStYtk+t7C370ke400Ut85bzYs3VydheVcVJlo2knGPS3sSb
IxW8t64u8FIzK9mNU86JdDs05Ern4JQpW97pTcedaQu2gM81UDRpAyIwNZfLEjUPoXndzHnawh9M
Q4tvV3nL5ZpC11ETXY3PxxBMIwt42oB+UqO2XNkpJ02rX+Td50m7sXh88ABVYOk5scIzqU5QO/Jj
ZbORVcyXzmPiMhjfjmVaqnEZkMN6EY0eLv3WQFlzEEal4CA+Z9lH55MNuvK6NZFaUjaBeWOn+Sld
A12o8l4KpCeEOZXBxrqCQ9zCqpEjeA/AItzidAYrr0A6hcxLTQ7PK68gw2xaHwm5zBypdUJaR4LT
goJHEIoQsRYNsK4IFCT8rxJ+ERuN3tFwYJhFr51ODPQU+bJaNg0KZ5jld1iVRBnrw/KlgTsQJmZX
nbTtUIuTiGWNkxRJUtsJeYsUC/0ellbUrDl/U21yyJYrS5xl8Os/z80euKArVdIza1rg5pqu/dD1
dStTvC06oKrZpGSPsOU/jyYRhHthcyRvWiO5142qOYvWLIFB2/7ZH3r50hr0LogLo5eBbLI5z0j5
byabCpc0noHFXTP7d7xC7ZtKOzI6dJIaZo91tp0zLmHmEOmuA3HDU12OBj6lmiM0BO/jQCbReXue
ZbctwxhGenLGKzpBQe5Ra5QdPx4McrnMkTE8Zlu3cZbFtgtQGL8ZPo+EvY6gsiXBRZmRpDcegd17
o9ueH8gRoCDo/1QuXyfZug6fZYUf0JkCtVHe1/PE6Z0Y19hFhvP4uTcYA6230U+zG48ln/M+zatJ
c+wbL9Uctoo58M8y4ArLpTQf5458nqAGMuUSz36yOYYASy6MR+ECh8lHbmRAY+60VHpzBvLXnB2T
4qHe7kFGvfTaIzYT+25tKYpmg9WMnM2nZaY8ESV9Eb2tzEeiz1lsWcdeQAOJV6wLxFox2Ik+WzHT
QLPIh69zkTbZTLoTjYye1URElJflfguKB+iv4MoOFJk1LzamfovuU1vxUiz61L5VpkZjcKZXR2YH
JdpAwWJB3YxNmno7Nnsens9lVnlcDU7s5GK3dvrMaWoR4WLWWx1HRPiF6ix123FY/iI8qiVtnTkq
Tv3ExdRZ3rKJ96gkwvNZdydBbW3xrGl6cq9m+hRmper8BKVdXsyionmzLZUYZcxdV1rlDRhFyItu
7tBtAK5myYD9IeOoyjvZ0RVEDL9cIZnH4SG98Ye3ZT0PfHQSiUte3Dyg+CNtS3yD1UPJIYGLn4qG
lywXJJ5AWHubJoertnqadTL9jFdlKrkGQ6VThU6zfKEqKexwVIRjhaAaAuqW0SGeBiIYbHZC+J7a
NiEYBGB8PI3c8MXHt1CatDI///XzxVzqgi1GIyP3uzOzpwo2lVOzDuoWLOCyrzOY32Sk8ELntrxI
PYdFhhlPeoOZhdH26uTrlXBXKuHZWyB0lh+jvbYuyYQcHD4bdB7RqzaIwft5qwIWJSmFCXUeDxzg
+MYzAfcFxn7ffiVnMYOYQAd84CC7Gx3iqcKSDMuLIRl+pS8zfpY5bC1vLFSY4LBAAobeRg1/GpCN
rdXWRFANRzunORzhUnduPHcwd+kAo2yxWdqygOJ7SHV166U484reAUhDcZAmDWeXxpIXvUUcTTML
+TKOtn0DPVB9YUlYfzHM+9tYefuwm10fWSgC/r8Rdxnwld6kWf1Ry7eE6p6AvUVwFtONIrvRRg4m
dCsoRI2JQxFQOUorWhlbSHL7tRC0Vj9v9r9PDT5H9n8dGlhI52wkQMiB7L/JjlLwEibJRP2xri2C
YpG1buyEUZ7XWZsOXTdmMaf3dbcwi6TQGWmyFYQGHbxsO8lhCrgvZh4qXLesBonTvou88u58NwWK
MQDsTLSulaEcnF8K+P9+UjHAf29330NC/DfLSmeSMJum2nBMNVNeJKhNts491aMsZAdBcJtEEGEQ
T6yJb/3CLtLMDefCcXB+n73876jyF6NKBH42A8T//6jy8Yf62v95Tvn7T/w+pwys3xzmVIjrAjSU
HqOz/55TIqf8jZkPEzvuLGXSxt/+Y1DpMsJ0+aNtdvgfnvwfqHnT+Q1gPVUEY0/ep23w+T9AzRt4
rP56HEZ8j1xtG+vZfCAL0fNfFxh90LRJtq1+mqXZPU+a7YV9tXz3lVldr4YmoQJDI1SYpe/RCl31
vZhe3KmQ+GK0B8n05WJcKGKl761Xdjtqp4VSNoFoVGS3YyO1r6PntSEdAF0ebT/hLIH1Ie1vG89Z
rDvbzksTMSBJGt5pNTrfvA7sVW+/9JU0R3pK5dpaB1EOQlz5otM9uHETSDtAtME01MC8E+TU+5WM
XeJExNx18gs7NC9A6DWkbV1kgXLNUJpJMOwodO1+n1W2idHdxjJK8kZT0ioALrtA2s85jhgXNGrN
J3tJe5R4mJFaNnk7Uf4Bd/LinEbaUVC1UA54xWOyaNo4hYa3qV+z1mEVaxL/PUW27cWrSQSX3HUZ
Z3GXdqUH5FatHZaagY/QH0rVmpcoglZAcW6QXSaFQR00DwRG7CdIONNu5dDgx35bHOu0Fa+qQeIf
YoMZjgWDqN1MF+p1mRygalu4bk7KbroppkJGUFeSqIxjYc5PxRbPyzCsoOkUpMdyTrOVE0KaPecq
J+RsIebX89VVa3eXCIHGZ9o2DTjj/tb6DAVupoC9lKBgEI8zWpj5daXJFpm0C0tlnVJVPqlpIHl6
yxrGkvQtzdtuZyXl+LD6I9OyVSPrmUuqWVhyceXPh97LvL1PnDEWmPtpzZ/cyvwgwm+4XLfk46BM
r9dMelE9Dq+o0S9qxhrHcshFDIMmhlho4mYkXVkI3dh3cr3N0ppQXrN8ErqWx2PHwaKspx9u3rhX
tbsmt2CDXaStihnNOCLjYgsoyfFgc6cBodbpxiwsN54mZgvojis6C1N2Tsaqu/KHjfUNm+DkIYGn
OUM5MVJ3R2sv/W/5aE4HWN75N2Z5ikpugU4uHe0+FbRemyL9wQi6vXG04YGUGPXA8b066KJGS08B
dWxKl1ztXHdDC960FjbEZQ++Y59YF7J9xwawp51HPgoJpYeJxO3WKesTkWmE2rN2hLjG8QEwLPrW
boHdkwMXM03pDAd63ZOkatVhv+V8O1vit6NPFTol2rW+qR6NLRu8q8onjbDwdUsNr3vgiM6gPRMF
T5MOSvVFJp0AoSGx49ZIAPm4enSPh7AoZzrl/STh+Y2LXp7rqRwvXXfgjR87H3+LvWofkEqAR0y+
jzSwRbuQxl0xkaKy1Eo7Quoc7xdjmr2HCrraLWN/0r1l0uXXAk/bnmglf5d4MM0io4KDDrBwiAad
psYhhzx3Ada4o0yjT0JktNWUiCwYfI1bEryeTNMtIFkjmiYeizTYcuN9pZZ3jq26vks9G8bngAzI
pOCfAyhp3JpIA/OjIsmnZQjQz8OHIeUGuJ8TEhYVVNiPpegD3rU5wFtj61IgEfKd/pUp1jyZRIZz
QDIm5jhZE9SHOfdFlEnNPOggYxh5UEEuhUtV0bJKqBmCFWzhnQP2kNjyzdYipLVLgrUCNwaL0/TX
F4Uh84n+pLoGLv6VV+rZhC4C8axsd7UkM06T9jVO0DLuQH5fNlr+jqazi3OGQk91VzCScKmUr2BF
TGSxj6sVr0Zt3BKV+EVWZumjwLeIz7MrRijBsLc8azpPpDXe41vUHhDfe1/N2slj0LQyWuuAuPEx
zTZnvTKZINPo2S/Vol+5ydKSRQ8gOB2G4brqs3bH39PsW01fDt321pZ2gmN0nSzmro7aEZWXHbxq
usX5m+/ypT/Ohp4RZzys216yUnklbnM3Wwu42NY52lMdfO/M/s5TdjaHPa20I52oF5fmXkinQNsB
AT7ZdGtiTsuWFQ6GGD6S1rZ3hTZol8voZHsCyY240ddgJ1qVhwtY3D0dSNYDf7nOZ5/jEpjbqyUP
ihC0iRfnjTJDBT8vmjzotYyE00MWgKyn2eNHUM3HUBjdYdHSjjV4uApGVq3VYqYaIMGOiJlvTkMJ
/xVzm4PYZL7H/23CUCd8smWoS7pfG+B8RBWwyODU6VOCuFfpoecG9fcFURqyGmuIRkPTOKaUktS0
lsEB7NP+MciLgG5cuYB4qQJOr/IUEE5CwpP4UNL7Uudeu1sDWoE65GwC7oM10mybI3SjGGSMtWIQ
Kt8BgF8RbDReGkxlwnXe8s04191goNfPJrbHXaMvxX7OB/20gpM40oGmxSSAoU5kkNIVKquQFssC
fraoSJIvWe+k+8ZgfwkbHz5gVg5vDGDKSxJ5k9BYmioEUbKEgqj1M89Af+hze2PHcSpzq2APL+8N
YyxE1BUOLXYRJ7lKaLOQ2lew9KOT/VYLY470aqBJWppJlJEaeD3b/sTmborQ1dPX1nA+yDb7YdOs
3VcOBcOk7Oeaaj+qy14yjtvA2J3dhZD2hw8m5mQb9EUZ2yyioYc86BbQQnEXmK04YbNdzxMelP3s
lW9jnegxi2nLqp1Pz/7SsmEM1gPSzibC6AeVXvms64BNv5nNYEa1CeZztGt3X0wwRptAa/Z9sdZn
yBLzblhWm/708q3PEiIPMCmGc8BnYLRWgseU/hOamfW2pNHPBQUv64aZB5OPCyb4+NNQFq+89uVA
fGDjP0rP4WctfXnoxuSETGqONPQld2NfzbfOkBSvHqRqPNT0JKsUGmTbHy1aNxbSCM6RTp9woUkR
tb+Qh7mh8UmxghK+sxHlmpHsvZQ7Pc1LvEpQnfjCiVpNW/OdcPOGMEfuM5nJRnszGetw1JGwH8m0
8d/msteR9qjvBUEKN6tuabAHGSYcC4biN07tTsSt0idjZRV4aTBWRYE5QVZMHIcnQq/vpR849/Oi
93rEqgkWOzGFGTlgvD8IWCaGgBc15Z6iIm/DxevcgxCGwyvTEPZ67PpgHaORoytJARaC9WWMvEE/
owUvXno30L81qbyoZoascdHCppWp9V65vUPgY25+N9JCq6PVdgOgDvmoTiQCdBJQeFaA+XMW9V2v
/CoW7dg/rHMnT7CTvaspA8IZNO7t6jaXzMsHL57YDtTR0NaCx5lIj/ck9eoow6GCDMXJ0bZ39pUx
5k7c1TMWq9wSkWjFSndewlFtB6u972iC5gSR6f21Kmm6hHrSOqE3iDGN6eoMdTwp3DuNn1eH1OgK
sNbzsDfo1u0En+swdK52IN0hqQ/Sq/JnVrPymS1ufKlmpT+UxZAc9cLLT7ozU/EmEnwlEUgF6pse
1uzizhV6m7xYLnF7MIBcaf4FmskLkelzueN8HFyYkmlRVisDNi0qo9idUn236n13N6xqeCaJZHx3
xIxtsG8DQueL4cZOs+5LC2EHgnvfFkNsSQJN6q2XQ3W1PgXdULcQ+51+fkyR+ZIL69hjEAOzsFyC
OMUy7fKC9+ES031d7/ykcr/Mib+6L2lJOEg8+WqjXI92wIvYKWLxOpeMWbu03WsXbvYrQjdXo1gZ
H6q1WYy4zxrtCslS/prUTrPvEr+243qlFzmOjU4KS5EizrFLDWVcPdfPeqKSu4n/9ahqlteuDh7m
mtqYgMfxW1MDJtcyr9i7w5pedg0ladVMcgiHeqofjWwGL6p75mH26/KM+p848XqAbJ7KKhLaWjEf
6KBdzkYz3xG73HUxfP06BKcJvbgwxnPdrMRimAW0JE+loJ6tZLn3vaJrb1SaKQdKldKlW0a+50Ko
fa+Zsiy9HzIzJHL2nXIzJxIyBBo72w/tkLplzzK2tL7X9ccCORmO0GKZ1ssKKmXk9oWxq1bRdEwi
MtZR5VeK0sm1jkPmOs8mjeYxBmwovGNX8i5+g/nARE9DXn+GBIw7kEe4K3amn9JLNhm1RcTXzKw+
Q9eep0ETx7EPjHt4rZwFGDkfViZ78UQ22oWkAXzqeCZpdlj5GX1XHiXm6H3U9Fjpm2/RrF1OMOqB
5BQo+EGSvxoGMdm1HczkWTIF8Pt1JRMTdd6P1hfpEaAPJTidbC2Seec9rcWs7wg5WO1d0Fc0/rEg
f2W+21/SJnZIuKiuW28DAfDXXqymHDZjpnhh5lPfzzOClVUgizFrW8ROZlgiNDLACmnZDyEac6oD
iaVXlZMRQQdur21b1rHFZ/zSU0XuwE8G0YpAaJey11Gcy2WnzG5AL+WdSBWd4paD+/2Q5sG+K3Xz
q2Mr+1iXnQiTkpWJnq0fEo+WHfIUOiHGKP9s5TVaqrLP5m9VQO8LdtCNpbLgnRHVzcQnCbtBR5tk
mgvwn0pSSo3pueRICyUysOcdz43ci0A5O/r4nG94KPXQKPJsNyd1tgsqtvFEaeUbShoRknePVSpP
rFib2UmaGRA24iHyFpmuQFEtLIvkI7zBTeBpN4O1LvcQYICnlhWTGFJbHUJsOipwrdpVS5b9EMK1
iQPKcxZamRKcrPHu9iz8o2CQX2UVGTVVTeMbXZSn5uUuG/TgelIIfEiFdo8lffAdecgsmLCpLnLd
uPWB0od93yswGCL9SnOtiJt2GUoKO+lfl5rsIkV60c6oEptYnsB6TQO4q9bco6yt86x+1UT/Ki2v
DLPJP9jONnKGZfgOpp84rlxfT0vNyAoA+JjTk4ZAq5q0wo8NbK7wUhfaePUVcE22m7hbTAzUi/A5
RKR+vKzyvSmql76Ytudt1NvdODQliDcL9R8Wh7DKg+SiyHvna8kkIaxTHTqktRh6pDXkG+06kz0v
tZU8t27R8LT03oGYEC8yOzvfMmfKW/oPuh6Pthp9/E76dN0P1NtIgiAlb+0fFK9iE4lUu3VmwJcW
vk7KEke0ApDvsbbB3M6aNO/QB9MREN33IVMwAuu8IJKj9C6IUIyzbBEn4pUlG7BWXphePd2tZZbu
01x+47xGKbY0OfIq5oSnZhRTidCgX56JsWWEOM1XFkqUJ0qpx1yTMvK6wbuEk0vyuFopHJFTJeQq
EOg6ah1Th/EtMOTVbCwkZhTmE76PErC4be+RkPkRQi7/OVNGHVqyI0qd4BAYgYnzuLalgzymNC+b
JTvnWvM6CI/0uD576FzjA6wU9d9CddSg7HjIWvPV2mSeFrzz996pulhPOysWWv2kaOd+CNRUjMwa
3x1Cuh4U38iEyAV263u0ljo6dEjy8SD85G3SR5RoapoAwwfLfC8NEDFh5SfkBtOAmGGj20QbFjXB
rHalnEM5WsE9Sn5nCIXltMiVp4RIJL/LBo03od65etkRBkMpueap4qhDIJPN17kqCdm4mVybwtoo
tTYkFio3UKmvVbOb/MroCdfJxLVJo//EP/BHZeN/mKl5bxcti4f/X+ydWW/dRtqtfxEDFoci63bP
2pplW5Z9Q8iOzXkqTkX++vNQSeOzpRwb6esGGugEiVObZA1vrXcNaXJWDUkzhGJ9mIQ7fY3yZmiP
uZXHeyPX7NsgK/FUN+clDXKWunjUHEnbQvR0Qp0VC6QDvp3VEGwCIYkU9nuqPASER8enEqbJzJYg
DU3zE5LDUzC2n+NwORsm/LZIGzKEY+s6Uhg7L4Xf7rM2ONO37g8QFIN9gLH7ufGB/1pld9uKUn9L
ZeqgPG+vdDzeq6z704Zvv4MU6BMvX91DA652ADMBXbSc6AOrT47cXQAQl9K6nRwP3ZPXXfaR1ewm
0tq2MQ5P0DaRomOEKE4m43Km/aG7qGjCgFzQBLJz/08iqNX9YNnAcNGUbpN6/pzHpJs7/eziVanT
Tda7XyJ/FO+mkNaINJCSttlQT9/8Lhjfsfc5G6zu9Daw2+GsW8AoGinomC3vuiCYAZwlTenzwUc4
KVlde33RbSHPeMPOSSdFenosSoJt7QQXL85HGtL1ARI4IULY+n/yce8tCYxblq+5k5BsK+bceq5l
qek7QtjJOPCIqggCg7VDpq+CnCsSStwsgc4cnwlsifduOc9fqLNYWnFTPqf4Cd3WkxtdL30yfLVS
+T3Wgm6nSqzu3AJD3y+YeWz9NMDevoEl+SE0/nDnOEjlbrQJayz1g7I+goKWtI371Zt8UfIg6lQE
hMqnhqZcSiMfU9fmQKhKwn0hsm5Eqn0CqDgMTmk0vp9j/wMVgv+ujeL6ELdzf2IdzHupO3qOKnzE
zogdPqmcd7FNjHGXuLeh6KLn0lTWNoNgvxUoibAp55JuXU4ORQ3+Q0CrbT8ml9QQvUGbqGuoqKkc
zl7F/rORvd1kxziazAoSFZjCg4VR05TQavG1yijvaFH6MGVr/agbr71s2zCkHVsTKLUZbDC+ucmi
7cy+8EnWWLfdkIZmvx/5D8hd2A7LxyHv4Qk1xEzBoutoV8XV3F27QzNcBcyedms3E+ltbZVekUfZ
6B0HFkoAPcRUTPNEFILTlz3H/FoJsct8KnMZfPY0AaCbfMj6UxMm9aa1DGkGEKVwzI2tAhJZ6Jp3
/tD0gE92jjMU1zCoco4FrZX0pz/9JM7iHcEjGKCCqc0Pcz6afOuy0PZLa1DZBR0XbwQ6BQwPu2x2
o4ugmfJ6T4vgHgbUmgEj7XOTy36H4/F0jAlGuIdt7Hwk96EyO6jiJfd1X9x1bS3IbW5xgu18zXnK
Xlbf4RU7frS8dDi7tLcHKNIqvNYEUHzMaZbfoFaZj3BHBfKOsXPvO9SID3CYub5AM1OXlpU4X+Yi
zc90Jcd3juMChhpnYJXWFdsqdvJhRd5UlyS71O8yFuXkcWINE6jgxtUqzm5A+HvOE4Wl7mUm0P0f
ejn5fOky20e9jrOdybu7Je7Qoci5cfYuMNR7G9vYc+axVVYFypaiKcWnSKwmSIvEuRekQ98kigYm
4axp+3GQfn2YLE7dmAQxDvuJsHMERHt8FLJjY02hDaGovNS4Y1yME6E4TSfzq0ZUFSyCQNhXNbSJ
D31W9YZdNi13iTXBh9ZexHbSW/dN3jY3/kwyQZmIeN+NS3OcOtLUIeUxSyw99ddhUbpPoLcWh9jU
vLep765ogk6Hoaf6B84MXgJMHuYkg6iNuAXQvs62cdOV10OvvlojpjVsTtFJJn6/s+ZFXKuRpeFm
DjYqrXtRJyK8q4w0F9Psj2dpBeQRyQjKMsFTTBoF91zid9Mlari2dJBfhVJ9IWdN7Mdotg9ZOD/H
8HO3cDG5GYQZsKKISrAyPT/SnY4OgRbJng6/uycOlii2sem2o56dC8KZwGzqvCKMQ4XLLnGN2GHP
GWwI76GWtRf9KS1QA3BVQKatyRbjIOuGuzCowYGFKgr4t85YPBg/SUk057DJ/LzOwbPG/MoK2t3k
074BYxVUGnVyENDWSJpYbnyimPdsaPeda+ZbbGTAgcf8UXXOkwsZd0cG6T71ILKDlDyrSsuNiml4
TFMS7zqrsJGwWvXBEblHWDFxmnH2sIQNVwUPDpBCWLWJ4+UWS1GXJKH2Y9O12Z2MB1rYDjkUbX8c
F2/8bCFP2zqu9QSNhDythQrZtFZ6bEYOahMOzyX03vtpaO+H2ilm2N8hR7tYL4JJYd1iMbfmKDnJ
RQtb78obrT89Kxiu0a7pjWb/36S0wQB6lPeE8AayfWmuYNCaC120f0l+/9e2/k3b2rF9D+Op/3/b
+pqEnuevydB96/uf2td//8n/BKWrP3AlkJgT+L7L5vBjUPra2Za0omlySIiCLuyFv9vXnvMipsU5
n0h076/O9n+S0sUfjrvav1ABS0hc/659/VY9LrAxDnBPoCHOr3sl1FfuLNHygBOAdH1PYEofSYyJ
NmmIgdYPb+furfT1n0ZybNsDgKFn/8ZXqqiwWV/ZvieQYG7jdvO5qWqzmaJk2P77kRhDueibwdjD
9Zf8QPiJeytadJM3p37Kh2002LfdWHJgAID964EglTgedgtyxZVeSe9H1O6q1kvDBSf/nhf598hK
v2f8/38zDMXkal31VrPboxjtEt80bDKT2qsQTWwHGY/mcfpfvDrmKrp+fK1Rfr+224tBiT1CyxpS
7Ut9ZbhUEcDqQKGtst88lPyZNMGcxu8L2RvEDldIyBg/f6RgLJF+qqk5JdOUIyel4onNI3l3j804
hrtfv8HXFLCXwVzMZAM6nwp8/+fBLMGxE4i6OaGQQZsCE++UhW20qa302Q4RWaSedumrEEf764H/
YdLjJrhGeLyYhLxeXtS3iAkQ3ZygQ9XvBkJzNr4iwpLkCfc362t9YT+StF6eEZoWuwL4PKv652dc
hmyYuU01eECTtV0i791njh29+y8e6IdRVsLVD2trNQYYLbSoJwsM69LR5nEsp+pc6f/u1f0w0qud
acrLpEbHzQQphpmrXfa81FCof7+83gbYQLrzieTBckD66OteyVniAaGuB2f11MM62fhWV296gz/Q
5HpPbUoSE3IXNHsIig6+Rtgb6985Hvv224kCoh5SYalAedCWXs3QGnQ8LOumxFjDqXeASBZdggZ2
5uKV814hWN8JpcWBEGH/ZGtT77LCVbBRveqMowA+jhMMckKp42GrkbB+fRFgBVnkXmAKJA5DkH+f
ua5exIsYrwFlIlT9XBg2joJ6Vzf8K3MSlXuEGg5kGtcH/mvL+1kr52MeOPWFH2WgLCUU06k0/ikK
CMOu50odp4wllQeGXOxuHpCGw0WEUNfCDu779XqSg4vg91K9IwjSO5NWN33lUqmOAnbDmSg8Rsm8
+nIKuzHbJgHXp/3sFfaXjBhOPHb5PRZOJM9lxEPnY98cahU3t0hg611PvAOOTm4Uwc0ZCgVm4fbq
KAnqPLS0EoA20KJZurG2pc3TLSV7Z0mMFI2rCkQjYH9L4pQERWLTSOg04oBPVN1vacm5Z6+ECIyH
a30pbPgiYQmlMVSltQ0K2/kYJ6N/aWKRga3UxaOc0AS1ndt8amXpfIx49mYTTKhbmtIbFn7TGGH9
HjSq37ruzHZjpIciwYKN/9gBX1xCmy7vLSvtP0e8msska5tbOWTfbcE3Hcgp+1iG6XfTTdG7Xi71
xbTuzknX1ZdzsarzNIRhpq/i3kwUtTQPRMF4Fxwq/RZ8MD2OoC4bKpF0zZYeqjOodoi6ckDhG7uN
us1kXH2XlhI3gqz4oxwKXAIdrkMhJC5WXtGRDE4UdXiVQAva5ykvATtKYs09Wo1l28Tvac2vIosg
zT8rQkQ3Zcvdisht4CyUtvVCgqyWxTFFX9vQohsbtZNJND4lUWOpvSPGLiRgJE9BAgDUr6w6XT6G
BHS9RxdZfndgfpx5xnlPLmG0gd0HHy4T6rFmcb+HG8X88bUNTqMxlsiBTJKRiEeDLEybxoWq4fAJ
+sgAUhqniesNyZcWNr1SPXatZtl59mJtR49TdiEdFb56s+boFVOTPGJpHY/HIayyZ4Wn10FVrCMi
ZHDDSOHHHLsxMjCf1fi06CU/cgPv8fy0tJMeMgDGZb9ge9FudBdPA7fGXHyh6db96SysLY9btNgV
k999GOlBfoozz78M5oJtHCmTD2XMcs/YuKz47pRaW5HzJUAM8s9t7FRnE5EBqk3nbHOdfaebqXC8
kO6ZHyIOJFPPXA87GOUJwv8biCjIq+NCEZjJFxpcTt+BpMNtEsJ+9RMVvaOzN+S7pDHJt6pR/sqx
QhElE7lceWJ4arp5PGIGWmqoYEyEZQqrM1f57x0GHiAfpHR2gqatjr/1gw52SQdrq3UQ5o9fhmRO
z2UlEfpE0M84jYP7ZGBRItM2e0Qg4/XYa0WPh3WOi3NEJzzIP4aiWS7JaDuUCwqLeDFNvy3ph3Mh
TLN04/YFk5pd0dwl9DB31ZCpW5e6FoErqz4fCojxYxOh9Mvm/aLZ3cqpH49iPfphAKApLbPntLPC
2xAL5+fCEK/sjr3ArW1CD+JF7tkMzChieqLPg4LeZhdzvRvxkKXdv7CMyrBV2J4PBKBZuqDl0rHn
JF4e3gtJL8mz6VD4bJRas38QJB3cLyk5247WM0S0FjmTD4XgnpxcjX5rYCd7KfYGpdtjYdMFzOaM
TcwZ6p2cGFojrYKvGPYI5MX0NcGks6kKwCZFc3/0sAjRaXHrNmScJpMb8hHK5hbch9K+durLQtC+
36EdoKNSCg/nUN5OGinUIBKpzMuuOyXppz4PxTd7Yrca1zni24u4yaM+vcl8Ex9G0An2OIqZjWX1
/k0W+wegmWVLsiO8AndhR+xrsx0XWX/AiEPdLkFU7Ywd6C0H7rQd+MIZmgatSUWQ1fuxiaNtKKvq
HC1Ded8N7D1WzO4xKRZ9DhltN6p6OLgZhqZxNaY3UBjsL0oMPY10LFEQEdyGeVecgMLGY5Zg6wdl
07rudXrrpu74ZGVZdzubpL+OsuUjCcTTR/g/UERnQmO8RfinRaULgsC2vG0sHd0V+aegJdEW6fL3
GngOnkr6gfX8qEc7PjkhHTS4ky3MOheb3Bn3AI7F+Mjm/sXy62HjBBx6qzHdhZUmxSNZstVZV+w4
dhli9WGLZnVhpx/61yZLqDh2eXyDA9e/aZNLg2tFiO8raXBmOOEP6OkjcsWNg5hu2vSdyiCOFgWb
WcY9s2WKZKrc4muTX1RTayvigoPVd1iXejeP7aI3RUMXE/CzBYv0o6ldI9ydD13plOepdcszJAu7
QSGI0N8tumE3CPwJC4RMpg7k5Tw5plw4fArN/lcGU/TQokfEljvPSGf20rFMzlOmXBKinTIawzOG
FND3IjlAjgMUUZjBbaAlBd+7OUtoZ455+a3xQetEGgcXBhUiNj2z0qvWxreRjBn29Tlcrca2ve77
u0oGcLQyiAsEn4VxhqFeoj2I/ANtX/ae7nOY2zleHKZ4N2WuwYlHSKRC1PfYBDTBPJ6rAp4SnZAv
XjicmiyDJj1D9fR87Nkcyfpi4xjvfT+zroVb0SMHTSfM0HPmI+vUcTd1hs56KML+5LSERpg2es4T
P9/TfM/3L/YpddCKJ4zuzM3AGQ1HNtagS54zWFtVuMsNyzX+GhcBXgm56CxEhLSrs8KyLlLj2+Eh
iEv2N0+yfUPrGLZc2LxpM3mYdu4aHviUo2lFbQu49xuTqrfufWtBLBzcKgL8wd7cAhviqUD0hvyU
lKV3Bu0tv9cuEa6bqQfHLDcxbO59URS8tgQ2680oqSxEjk80IKmzxW6GNkBdnUMHacXscNXp0oZm
bwGH8NJzMFuqNO2QXHZq349t2mx6uoeneA1ucg03pb0XlNE74vy8Z1diAbiB0T4eQ0sE93jMsN1G
s8FsO02zzy97YFXZCiSXxuNvLRXXa8ZP1ypFHRFyo1I+qhyikX6+8MBwiL2hs4sTOiv2Xmcarwnc
A8oMNTVTT5l9M2NNS9t5ocbKla4v2fz8y94t8bgQ6nf3Zlze3v4eABvy6+iyAm/8/HuC2InZD/g9
uhSPg40iLud8mYL0uSqGhwgc+PDrG9+bizqTweam7nmCuwm93J8H7LzRL2OEcaexpSCtIsjfWHhq
Is2T+tLy4OX9ery3NsDrgIG/eogS3/Am1KDSFHuezIl/CdvJ2rBj1ru0q8ZmlzGxepIc9xAwqI39
cLp7OYKnesHzOnEmcaCdbG0jssSfyZkfj6ajxvn173tzz6bfg5ssPk2sEN7Lq/eBN/okMWtNT4r7
9tG34vqygb78mzX4BrFgFIAKAs3IKcQ6/NV9cEiHEfZunZ6kR+UKwmyRRiT7bYuiiRzyvCYlPKNy
R0A8Pv36AZ0VKfh5ylMfoPiilYMv15vAxxnwe9Tw+E5eN8XRqfCw9rCiSH0uB+pS9AX+fKssXz1W
3vyYq7n9bjX+ysIc/Xjb11WSrpud7jdtMYTwdVCeHKB4aRiEMVp6nE7+bCMR9RdWRJPmL8Tlf3j1
7/BqgT7qhw/91hEy/Ur0yHP1o9KK2nD9Q39D1aHzB56ELHIETZjB+pK98G9HSGX/4SGyUsQX+rjL
QtL8P6g6/INoDjwFpXJJQPHXqfp/ULVUa2DYCl2yaEix/TdKq1dbH8gWtHMPyxa8R6FOvzZVbY2F
T1XR0fJBN963EIXL1JxoW6NSTuwKR/Q6mYmfz3JhTdSbxJPhFZI0aOBV4z8H6Vg5AgMlwnsMtvpy
IRmQxDsvu4yd1io2OLiwttqqw/7whzd99xb7XlfrDyvKYUMGh17tl9k4fLaNn/fQsBumAqdtfenG
tnkQcCK3PjXS1TwGNjremWvprwfkJHgzpGfTdKAtRRwyX/PVOWGlhdtYQx0jKlFXdR9Y2bagZyiP
RGfELd59rdWehLax5Zla1Zrt4I2BBwuCjefgx4moL6IA28fNMhKtuKlkBIjh9NLchVWKdVpdDdy2
Vnl84Yh+OXpRVV+S9k3kI4AKR7bII7prrW7LZesTZ4wkfKp415YczUOxUBk4YvGf+6qpu03Whgyl
wALivQ6iteL3I+FsIJMCCUi+CJVt3w3DARP2+XqGUPxeC5dJMLns9drl7J09S5E32TfiRiMPSLdB
nM7xHq8MNFogKubOTjw4Rm0SO++FgM66SYOOZ+s0XjtWMpu7WE78DOOkodm7vtN8csaJlHlZO21y
a5KSX6Rm373glE3MB42TJxkMrYUU18kS0eEzTEfihnSOwDrIYJbNk4P2Pjn3Gn5ZEHcFFCaHwPQH
unfo693CMR/pqBvrs+v0vLm0I4UVrnht6gvdhJR3Ixm/yzaSGOhQuI/802bI+XVONlJQmaW1x42F
1C1ZvU6A82pdrZZKMHlSslUr/zljC39EX6gex0Hzx7GQ4DbTpvI+AeFZtja0SGg4s8dXkB6trqcE
M8fmhIRwJQBjnDxANnF5LalVACIYH8Xuu3mp+azjmn98iR96kZyX9ZMg7wNvbNOc79e49aVqLYCN
tOgtRB0jLLQknpZ7K7QTswGdMqfVyCjEJSUVBK/BNcA0ARc+qnsZTMGOZnCxx4Iw3kFTEqsFl5nf
o9zubzh9uBiVGVxspOkDHoJZ71/PcywfrTEQN9PYFHeum8fPDsjECfiKTn8Km+u5ivPxY+PamcHf
hSmbTKi+x2nsw22SrQV1WUT5fHaMRGPjwyt5tIhE6e+dFAXYzh8Dps1It3zNXimlvkWh4mOw7ccI
MJHbta5YkDyHCUqhjBnpfAUu5dtBQvcm9E/z0HziL8vse2Mm85CWNviCxJR6W8fMkQ67gwGikxLv
sVPl8xTwJ+XGiia+LR468NKWACEjb4bFFWQVizJv6ik6dDYsyqcu8s0DUlUWgrUEvOAUhr885tgG
XPqYBkJtNR2X7TEDMMwix9zRvGhPQ7LM5sqtBl59UA8r+83k2UK/vwOXwxGX9xKo1ctq8ClwqyR3
9Pt8WSzr0RqCpb3qHW3pu9lgx3YoqIenDwt0EfUh9ewyf4jGDK+o0oJdE42ue7GMa02/zCXvkgsd
79LYE7cApWJeBD0ofYrQAhiqhojV07Q46m5fJnJuLD5cjZ2chg+/LooeGuayMTCmcFzwaviNg4XZ
KN2nRD6ZIhyc2wzlaovKRuT118CdxE0ioZ3Doy0ZE9JdZk5BFOvssxYarvXGH/BGdKOwzz9qdggB
7SZafH1bl1UlQ2obK1L7oIgtvXdyggQ2NtPp3LUB37wvtLjJ+sU1H0No//k3P6gcBwBoRpO2L+GE
Orcl58/SbhDnxvIiqpxVR1PX0rYvEsflgu6LFVy3CDHCvXTBziONw5sKr/EnfxyQNy3iXYBIZtqK
sh4+4D9r7XECSHZMjG7rIi+7cAsFFwWeb74p03HaCFfM/i4JSv8E7CLX8KAMPgIYNnebg8ftu8po
AsxRxSZTXzTQZx87H22IW9qfLXCWTY9kbpPPVb9Jk8mEJ5E78Zeii4JvJnYjyFm6uu0LeTVAoZr3
eaHNvayD+DM6k2pfckjtKPvcB5pu1WfhJeXBqWywHgiC/sbuA32n4jknpS7nsgihsrhOm7j44GRd
gBKz6w+LBdnGGg2pTBpHIppOcDALBEA+8MJ+wLjnnm29+ZypIXk3esXdFNgmO+q28w7t3KI3o+48
wg9G4dvJ4gORd1180H2F1x0H2K7I2+VcWCo/YJ0My7idIPsUAdBJOrr1ew6d5qnyofvvsqWrDrCS
648JCiBebYkZUyh92NYyGMxNI427iYFBdjHay+/w4OGQ4RlxctZExAmDqhsfErG3S2y/mjdmphzY
ddoZQUPh7YVFO69dLre+CBLjHGJf3GdR3RxtzOx3mmd8wp8G6AcrVnlRcR0e93MZDDctGut3qknk
0eqW/OBbZF0QwL2EOOlLeWMlfXvJhj2fiJCZLyZLKOIg8mk/d1pve9zEtu0wZ9gPdfL9mI7Ln7Zd
ZOhA1ILQQqti9+sK5U0xh/c4gE/wcql0uez9XBK1demGWYF7jOkbsIxqxVQnl0PIs8BjIU/XlxGr
/PTrUV9d3ijEAngYBMuu7tsBSZU/j+pFSxIkk6/OLez+TxjtsjE0vUON8etxXrXzXsaRq/cAVzhc
0l8nYY9JLRFexNEZdv26p9qaPXs19fJNxIbx7wdbW768TgEz5LUpP+KJzoopAs9hQeeiXs2XXvgB
qKzU/tdDvS1kuZTjC0YtbpMw8bqR3sYqaCxjy7MrZ3FTraY+PkRNYLi+vuwCbPD+9XiCewjCKmVL
HMhfNbUFyv26KkqUICaJHv86gqrE5sTwq7Wl0aUzr/fXY766evPteDjySzhUPD7e62J9LmOvRyjl
nbHMoroKkFpAllTcVXGWA9IEk+NPbS0kRzShAJTNv56kdOHwvAhtwn8c33710HXltbYpMAVE76BP
04QvkBHT7xKP3y4FRiGdQhGx668WGj8vhSJypipKO3mOcZ46zSleT0H42zSYfxqFC2WIrBU4401v
Xfau0/oWz/LCvJAp7Rv8u/6LaeKTBGu7KPvD1cX/52fJW1qzDbYSZwf5+5EMESbFOOOfv4fSIW76
xozLb650b/cv9nR2Ex6LDEeG/XnIKoUkORXSO1t1JJ8E8k96oyOlyEDm2L7CMA3qebcwRX49O9/u
LER9QJkhDp4o1TcrggRpBDGN72Aaz+qOavbJXkKYWTIs6n491D88IpMDahM1OBE3rzfLAENohiod
TBlWQ6dS1LhL0J5Eo8SOvd7gzDprfj3oPz0fKV8hxDYfOob7aoceMf1zEyXFuZDQWKoSykJhh8mR
i85vV/oLivbzvVyBTvgkVQYqCN+utLXnabOf0CrtcOTKROmTGwl3/6EZF31T40NP52KmTDYTdR2N
t7m7GVuMhw/0rzwuFzXdQiwa/yQ/y6XqXGAg34W5bH4XePx248WV0w1WvhQMJvGaalal/pTitssM
L8FMt2mEh1tmLM5LsqqZapmirP/1lxBv1+4aVk1dCRQJz+01JyUuwEsizrizFVrUuiZ0uT+gqsMU
WAuOzKSJ1vmepeKmxTfiEz5mi4ACrcxD2zntasMwLO2BKgmjL+w5k399OIBGw5yEp+by7V5wzB+4
SHZL1MMYsurLJaTotv3ss4jplHeoS1KM0ezfwThv5iakwnU1AOUwRb3XA7Zptxb983Ievch77rBA
zTZzWzFNzdre+PXr/6fBwI1cSEmKreb1KQCVQhGxq+azielr47KjruwOoQguJA23pF8P9uZT82Qh
1jLCJtSF7ezVqkOiIZousuezjHwulnHaM7NYiNwSfz2Q88qRCyos2+VaPMBn5Eh/XRkVUKeNbIKJ
CkIn3Z3NHW7YWmHXk8RJoGF32SDE0nsvxgUSPS9dt6IJXA2WvB6DdWsekjQHJ7AmLks0+3AmXQL6
x7YlgbJAvdyDXazox9TmXI4n2iV3fYVDePlvN+KXNHfaZJxrkD9fl0JpRYhBUHbd2VnoH090KS6x
Qk2PsY0P0q9f2pvFz1DMAY9WAJDem44ImiinHw0ScQ2dGM/FjOdv61btLcfUl15lfosfrqfXDxsj
mD/7ocPSpwkAAfn1V6qW0hWt9r2zbI33jWDv8Yy8QT2+ACIy6EB1WrRjH2pjnN8cAM7rKeKtJE3I
mi4jrz1I3/35aPUKCAbwXLKzIKqhXHBXR2tEIg3Ofa6zJYcx/IIbdO7txppm742KoUIg9YpT7Ghm
mBSOk80P9lCCIi75ite0OlgvFkhRFswNmEe6RHqNTbtI7wK00BX/JXRCJwUfiDZxHrr1vZ919PjX
6VVYHAbHudeiOSNvaLqNIztz508GaAw1P7hfDnAEf6IdMa1Ciu3k175t5cgZRV7eT6ANN1r21tF4
qbyrZ6wLjnWA+wcoNgEKdoCv/xWwtF1tu8AfFEY4urnC9YT4g6AgUnlXk6jHBXpJzxgjiy2uqf6A
p7FIWmIlhjb1cbXCI4ssDXfJVlZ1ITLAo6ERhfgTDVUOKG5lrBdlmhUMxcU+uRtnw18HVguXTNZA
lFB2FKmaEpuOdlu1C/90aYO/i88xj0BeFF41eIE1rLWkKnwSfaoOiXYu4pXaipJD5RdxaJmHBo+p
5A6WUFFf5XE79vcd5JtyB52H1V2Lsskf6gU6yU4PvWgPtCDNQ25DNY6lXI3SGtH9aei7LiC8mb98
c2U1eNe6FSsUNRV8ZvyB+YM8uv/sY9q3vGsgNtMbdDLvCvcvSve6GcDm0rzPzUHilbKqw2eQKxxy
AMLDcpbuHvIg/8UBGhqMrMmtLlqTDdY7U6cM3eYLp5ayadu3m6RwO+e2mlBbPojUSrpdznRJ7riv
YnMs5gCffOh73gUi1C7Id0M/WtulqfAZlg5buL/EzKCqGrlIOMGUBgg7IjFdJDgDR5yrAjpLrQsw
rbAZuuVoCu6wG7rloIx0nI1+LypfF5g1+0wwEg6lc2OlmrPhpQ4As18t02IJ1JBIunBnjBHxQY8A
QsIWtK0231WPk1e4jNBKXyA4vxj4MW5ixHsvc/znNEqSaN8NHbzsv5aVXClz9rpmpoDgpueKYHsN
OD+L98KIhC4op2KLIhNiw1ZLn1nUhquFa1L4vFenWzFzN+uGL5CTp/FgICbe/dWaEaH3HPnuWkjE
HrVdWAewPEW2IrEaeH7TEG5/QgwOAv9y/AUScfJdAnYVXPkI+JZNbqcmO9TQPbpLeD4s07Kx6DQU
s8eL9aLRcw+ZcuL0vqtafoiwwU4ODYq7h2oRrfk8mMC1SLAI/Dx/CGtlhmvfFOK9zLLK2w5kRs3f
QotOxh6+uOPdz6IBBU5mamOX9YfSkvOYNgCSvwS4grni0c2BlombTfCRwjzvoWTqHi9+lOZjgwNI
FEEU2LKF+9m50B1o/VwASh5A0JYQSAK22bm0bQPUBkLehwBkyzBm018n/v/6pL/tk3Kq/HD8/kOf
tOtS/ofVxM+t0pc/959WKU1Pm0JwJcms2pkfW6XiD5YYYh6Hiu4/bpT85d89Udf+g14oeIZygFFk
4If/pif6+pyG9MNlkO4qeZ8gFsGrum2w+zBBTxuza1XLNcD5fHSztYeFnxVntI0fzFeYi+1XNJDR
+YfX8k9NzfBVXQK4BZtYwLeRrqu4r70aPQ3S1s8x1booM/K1ghjXdiy52QiWkis+onT71LdrXhwd
wpV/9WJ5Ma4JbLVXzx8WsmRaNPxrqEidSywelJjZSvO1L6FTfJOD2aK8a3KN5VeXpcNyGaXBPOyr
btV+0na8VgGpBCvnOdrMCSHvNy9BXUEWcja3KXEROnEV/UWK0geaUQFy48gcw2liC1xd5ps1Dyyg
nj/XvuG9STyYrnDmwGI3mqrm2VXVcgATw4oZEu7FDESKoD/xLDQdxdzEg34n4Cpa59Akk9jMFl/p
zzF2Y3mY8ORwHjEki9N9OcQG6zcY7f6nxFaQDVdH7z65xI2IcmMzQZ+e7lonwN4giMMJ+0ZlJeGh
zmcRP0yYUlDV5mWL8i8uIYc53djbWOHQj78Q3vpvxtjWB08Gm5jqKFv8EGNCKrBNmxOdb1HD0kQT
U7i46LJzKXDu3JQyQqpFvxszsGWOb8cAp7Iax/Z00wVzix4xbsOnBW8va1+Jyew5ZElxksuu5+/W
egMr6awdb4Iws7ttbsfuqaCqg9mKhGGK4HXr4h4AuTiWurSJvgk5vNSh0WOYEcMs20sMmg6t1zZ3
LR0lJkwTEM+CP+jWmhU2QHI2H/LGz5/sZMbRqKiSrUuzb9unuf9tted44N6w+hSYdoclmDokOPZf
9ISWfMp8yHMY8UMdCnR1kaqqP3sRnCIhiocE9t/9aAD/QffiAF+VllC5SeK0UV0YNb/H6H7UG0up
7ou/utOXJE7ssAxJcU6QiCSmvrwEJej2Ha28LU3g4kM9YojTWiI5xqZWXyXJS8VGRzq7G2kgPscj
jDuiy2f7Rs0hUlpEuNaZTAf+1GxX9r3uiDWZyAx7dJ3ifWY1zieJQXK8ym+/phDcH2XIoqKz6x1I
vvEuYvw50bQZIirc6VuEf9nzAq18r/4fe+fRJLeVZu2/0jF7MHDvhf0iZpNIb8pbbhClIgnvPX79
PChK3RT1jTTaa9URamZlJhLmNec8pyzAxnFPaN/qudnEMw9RyEjGKimHU2+E5nWKQHar+hnBo4Xm
bl/z+D2wcrRgxNniFc82GUp2Tj6WHNqDGycw+o3JRSFQNA8NmoJrNZjFPlGZOhFkB1vRSWcAq6UJ
vycUV+j645cqD+NXftF0N46dOnXFnO67PCcOhQzw9xK5r+/5dWAfo1rNN5XZ9uesZaTETk70K7/E
XD7FLY9XTVPcVghMvDhTrW7dWbcQInJJ7NOx9rVV6UTRMSdp57pzuubc1yp6pnAE0q6mQb+USR9d
2jCpHjoEkwthrjyyF843GqGPryTGxyh5rfaEM5ls4bGz46M+27PciizMbpjS+ocSK8OuncFv6rHr
bOuqN7+ZPcJs2qjpeYyhRwaudsiTErIopD2WrcSpdKEOKIElssiDg3TL02TquHpdtSoTo/vS5WCa
VJKne53+Hm5picNHNOC0o9zeylAnRHy0ql+Af3cnHY7mFsN05Fm5MdzGhUmWVeJM+6Lu1C2DyOml
wyvxjmaiv+WA+Ncjte/zbE8gPI0hW3OdtOsiG2MCvwxM7kZsYYTpiuSxjCgp+dm5WrSh2rp2Un5R
mtXuZicbAeH6ugJKguW4yur2hpxJBJ49lbMXyz7EzW/Kb7MMXW2loxDhVEY766KHIOOiv2Aouin7
1r2ShQxepMP1P5tutR2J+utXkPnhXkaJfnHbxL3SikzeTmMPslg0E5qVYjERpON1WnUl9B8uVAbi
ATpfwkUyD1jpeIhoPI5lQXoN+w9sH53KLx04MPST3GrQw6M2ocySlSHurSkzJUBJzfeaypre2faP
NV/aAVDQNXG8bzBJ/ALMYTNSJR55ljBerQr5OWbLcUjB0+wqI4oeoME1dwEguiu6TXaSBPvQik1J
9djknXs1mlCce9T/b5DsdJ5oICvTqKiCFVePfc6HYfqy0Bomj7YIb0VuDkctyPqdD7TqCvODOspU
LhvGqnoa8AzcwMbz1xOxYTsVjeEtT7by1XK74henze1vE+1NurLaBmmHG3wZgM4uyQkuHNByO6Di
Pk1jY65xJreeVvA5PVdrtIMjkngA4pT2byVC9BQtB0oa4PgaVWloVE9+l7cb6FzFwTGzCOCIFSff
coOOq3H76tkJcsvaGEWQ/aKCwNnl1ehfOuE7p97JETOPc30IXQeRZIIifpI831YpeJWr1tCxGjlZ
c0nEBIsLeN2xKjT0+C2VdWwk5tWQAqLW+rx7drB34QBx+8ZrSP6EEaeG7rYMGuc8a+70VVdd2i0u
FB7X+NiCUzq02kMYmtYrKmJuPfB5DIBqWkyS6NCC3Zhn39+0ulMQs5Grq0j3Qb3luNoSJ53EKvZN
Z2e3xcc5MUTo1V0N5ZEICw/1u/OWMBDf6pF6Y+dWXLQgN++dIGhoLEZ1HloXflgwyRvadd0jPOCy
/IDsGpXYzW2Hhj+PlhRVecH4EB8CiYqzBgZ7UwRSPdpO229GW0u3VVWYOw3cFJIIWlSmH5IFddSs
tUKViI/05tYmgxBOVJ0CJGnLGYpG794LMy63ObPXrU4H9YBlLzS8DPrwTeJXhEfIfnRv04AsRgZV
hTfo6uz49cDPnhn6pdLFpTWs8ei20tnQ4VZfsYfIFmn84O79toJDqcWgXtIGAqc/NTcwFcubZCqr
Pd5IuR+JefRmE4PSMMzuvPNFbT9TC8iHUbkxcnkM8t+cTOteM2KEt1CPXswqtTda7N4qSdAS309f
OAhYAZHVDxHk0jbGTVDW2sHKZYOky7Bqn4d2Nb9HZZ1hhCae7ig76CYFj7cJvganJojyLE7MG5/a
dCtAfp86UllATzm1HcNEnKk/Rm7CVyroqjXWryeSybNrVEBGCf5HN3Y87/JtjwQe3xrpGBrsnL0k
uOTaFjadvG5HrxRoFhy2GLJbNfl7AGq+FyDHhX8kapEczDQQHmc2UgRgZqFXG2MMYlIvKF/7Bo2E
lgx3Vg0YZZjVcLD0CQUFwR9cJ4xGOTlc+wuFb7hBOit3CbmfF1aWFNMjlWq+aqU+3Pd6GjzqSZE+
GpIa0Aga8E+mX1XX8N7d0wwcG5y16R90u+zQ7SN9RPkHdhM7a+8fEBnX8xoBR3yMW9cFxtmLqKPE
dIt9VoGY/6owSzYAOxPm9065UhUhwT2kJfrS+mimYXWLQE9dDKOertyqFms3idAAB9V4DPNhhlDS
Bi+z5Zxiw3oILGwinYyu2GYIvqVxzMCpfCb7Wq5IM0+9yreYZ9kZ+7S5l4dJs/NVP4RqXXUkr5Rq
fqtDUk5t7dYpoRO6YW+tU6R4q6Yiu6do82EHFRU3E06gkRbhFKUi26Rx8MjPorYdwnnPbdxurVKK
Gy2NrnsjUpfGNF5FYzBR6mHhBEmSrpPEqclyTDkw2eCSrYU/x1EQCJlR5McgrNQ275xtCDzoSKD2
dTgZ8knViGQ8ZywyT7fyeivY7nqzNqLfSzrA0UDxVjCLWbMiSp+jWL1ODHB3cTSXxKc5O9c37evR
ChOvtHImPJx+b1pjb1AM+g+oH619iVHwaMpGv4RZGq37AO7M7NQ85powOkSljdijaWePWb7pTUY3
rDCzBlc5yr2tm8TTtanz5WIn3URzm9EnlHXrMY1v/mI2/se21JLEw+PqR63r0B/+foIb+gYgoM6J
DnHW0NZpI3HE9exwlzYJu7s39JyOlFoq55FNys2f96U/LU4WhbK0dCmXbbACZvDTm8/ArUBOltFB
jARQz3FN2E+UhvjC3OTuz9/qp7XJ8lYKjIFisKiDO/rDDqCKYgtZKG9VSnInuUYmVGhTUHz98/cR
Syf94zx+eSPG/y4DB2TYlrUc8B9WXUkxTUad2MGhK/1py9rSOFjdRxh01N5UdcJyCNKvDtLWyN7K
xSTCXYUsKc0Pl+baD/l0Hx/pn/nRX86PiAz54df74/yoyNu3/O33s6OP1/w6O2Jw9InFhsUef1Ht
sD36t8we/fUn3cBxhJIeDwwggH+PkAz3k44JiTUnITwI8BfB1G8ye+MTLigk+yiN0Fkgbfo7IyVj
wc78eLKxd8f0xZWjFEIpVvHLWf/DyVZCcSQQfCI8qyxBU6daxtiSdZvpmaBvp72NKDgnxzUgM2oR
tl4Iu9cACwbhlwZWcMEEI5PEgOkEOhA+XRFLQOlrvc/gcTdkigGaNrJyOhdVUqfP0WzA1mxm/Uus
gpEI0y6B/60jglxy1fte7SLNKh7ttrXloancvj+OKqqHS81dchMy26eDXiBKyWQR48ul6onOb1fm
pJ31biojQAcOWcZxPst1NdWf+04i3ASkdjD6kZZsivG4soDtzNWEHnnrOlw0G6Y/ZugZVhhdUrZD
BwpNe6/VXX3oiywuQePm420PUVfGnVwX0n0eiB3dgatu0RAHxfKppjl+Hs2mRJQJhq9DYhu6cPb2
ZKTUQqwJWPDbdVekMY0WO05QlNjnmJYVzIV5cPjJLFb88hxlfe7ETSQj84i9trkhyTq2TgPwoHeO
CCmI2ED9+mG2yvmAILbRjJNdkyuyiWuxQnhMwu6udsqQIOxRDhfixIhRTvc2Ja/Q861Fr9djujTC
sFX7mC6DPavXJLjf7RMDIOR/sycagnAYAoVQ7kIceUGNAvEgskS4PXW3C3KAibVgmf2xArLtErwd
T9ZeSXHXNKjrU5K3xy9ubpfxNzcWzTdSMug6rmTemBma1swXW6uFuU+yNbkVLyURykvf6fZnEqaT
owXXlANVJ34IobOLD5Hh5mpDBMetEEW90SMs6X6YDNfNlNJfYg/ktByTYj2VSYDyXoijE5P8EAT6
vCWXONklRXgtiIe4a63OIDdVS+U6cqnJvbRqA8JYWtvwDMXR9mTswPRGEdZuUkWMTTbq9ZYyt3kr
ZJm+y7YSiodsY+HXr5YBj+M76SogeVGtciDMx0a1w8pQQUpNAeZxb+Td5zA2+tabC8O80TiCxHwY
ZfA5qA39BAQg24La0Ha9MvK1zdtdGK+VOzGL8TYvWrELh8SJr4lfsCEtOANGUqknJ2rECqMoI8I1
SpR8QdiZVxFGa4IY2tQ4s46cjzll7mqOdRqfLnzjM8ZMOTM4IQDtrbCh8O0M64xADT/AmPifwzp0
t2j++10ZK2OTVEl+7IRdPrImvSLd3bxdzuxrBo362tYVRI1KXObYngDhY9Z3FNhtJyplzREo9W+F
mPRroliCl6CMEJhWBprkHs9fk1ok+0VWsCO+J9khUPNJXV5ACdj9d9Bn3fvA0Jhr4og5A8d9mqV+
nasYpK3mW2f4cCZP+wr2ZtwMz2ZFFCRhK+NwHiMlXzMw8yPN+gyHdUh1dWehe2VA06hvGuCRzGs5
GttkjtsD+IZ3RCCuV0eM1tZaR7zEKgH7el+qYYSKZ/fFu+FMwYMZGwHAYkIjf4GuTvql2zT8jVI7
MBdDQo0PZ1V1pEAOulUcE7AqnoPjeIMqftyqPHD2o2kREAqRGpA4oJtta0I5XdldG52EG3YP9HmJ
l3J8HpqxuuW0Lu4cOZ3dAUCKmfjuXiNADye1AuTq1Bp6ZNdInS+jlYc3bupE0JyK/Isd6e461fEV
YPiGhbOZCoNgeF0QrhzftVntHCaU6euEs/tekNid0YlNkhZe+d7Qzo9w/rFPjWYAdtauYAAgEFox
5FCfiUEA9gE7eD0OwoDSqFsmdNSBdA3IDXeAOCPPsOvhOQkbakAVFxeZlgniJXt8J/S83/RStd+C
ZNAo3iui7NMQsjfyzBeJFuF6FpF73ZPGfDPlwBtFGrQ3sq7LE5AE/Z5+a04Y6tRJtS2KBuJiUelv
LFHrNUzm4g64D0iXiUYCi0enrQyakm8jeVf7vM/tV6w3s7aeObU2M7ccL8TIaK1I4hzgWHPndwaY
wrbTWxdZzQFxDpqi0xLyEXVOeXIGMzwWbl3eVCLs1y06NY6sG05fo6kms6gPqhjXph+uG31K2SKL
huHViKlDkOF3mOuJGAXWy18hUKoNJau7wnlUXMYYIremqvqMSwVava1tGN64lwoNNzDQKQr9g4Ld
dgl1Ua2FrOLPadMTJtqk5cUuneleH0TDfMoK3TvDHdt97zAxK+D3MxHxDVImwSpe132ZPGfMTp4D
J69v8i71SQD1o1M3IpoP2Rg8itqYNqFexLup7qeNP7UVw74cw4HBt2UwQivaHvJ07omltbtHrHsM
oCOjydcagxkP8STBr3qo3yzRF2pjO35xzAfNgOGRDNPJjKcswTROtoJTGIrj2A4vxmhDku5Rs09j
RvccV/58FJGw3iV/X/MKP49uUK4OnhXr7vM0m81eN2Ye9E6uo41ogibaMly0zqT/lA++3deQN9E2
JavAdyJj7QzjuauKessIH+n+P8Vx3kbt9FfF8aIY+rPi+Orr8K/9W1bSjtb0QF8//ujhy3//14fW
6N9OVFv/BHaARgeJ2LJG/dWFastPJgtPyapzUfkiCf9PeWx+QimHmnmxxn+sX/9THstPuFD55wq3
ARWtrv5Wefz74hgyHipzinc8qHwK/edOzNCskbUYIbOY61hHzdy5pRU8/XBQ/j+rVb7ijxX49zdB
8cWCle/5B+VtW/RaiSaTtMwE4cloNzBU7d722By03/u49/H/BV8ZHKY0m/m/8i67KaK8bf77v+hd
/vBWBodlCWCz9T/obQuwWlUcqHk/9hHmHvi9J9C9ePyX+3+KEHCfiRrp0kxIngsl5S/e/ucOGmod
RSCONCEEO/OfO2iZMhUYLMkEMR8eZGY/O4w5//xgLv3+j73zx1uYNFtofTHuWz+Jw+tamzrdF9Xe
FMMDZr0nijGyCjAdUFZXX//8zZDF/vHtUIYiREevR32g/wSMgKvCDJUSYM+qjiDdJBPAVFwtOyam
nx3T3ng0PqAruHBbACyqIH6rSl18X0RPAGlpChJWbBnAWQ5BRh3wNgF06YueADHypQC9NFT7+UpW
AhdQBgqmRuJykHGmfpEx2Oe+aRnUL37autXl04T5edmndgupnJF3WBH4osJEraFHjE8TjcOZemsI
VkraNTf1ys0eLKaXzwTHg5rPWLrBADevTYIT7iyTXrA36owYMyZLXU+ocJDhNlt4MUhTzWrbd/N8
YBB76WKt36os+2bY6V0RGe/0GbcEk2R0Gk52LPXxc8B2ireIrQ335myVqXheJ+UMDH/Brde5WJtN
PHyl+KwONgm4JbhSCnSKfUNm3WYoButqHNWy1LD8owzUk60J8hzCCFRCY5dMNHukY5oLQayBJCzi
mM16FTy0lpF6nZN4utsHOOcCpn+D35PinvqbGK/VhabE60IcHj6uiJPJCj7ZUAmQBRgMU+CyZo67
cRvhEH2obAT4ocOCl8QW+1zix9UxqQv6mXysa+vRgCr8HCZ9fU3YOX+HLD35UIiExqmOuj1bfFx+
dY2KD7cEOZZZVV+KVCdqgxDpLRNITpEM0jApoxNGyBxE89TJbR+l+pNRJEBWeho2LYxk90oYYiUC
T5/EGQto8BAR/LPJIwg0PmP+dVhZy2Y8Wuxf8I3Ovh/Wt+XMsz+rm7PvTuqV+Xj7YHQq2VdaKC5i
VNY+yzkXKky+W/Izxl2eqdeQipeuO+qCbWyrEVpE5N7qgHZ28BLryxxoxc1C3pJNN11YipeV55ap
vq0H7NaFZQaQ06wS7M9oRrvaNboTs3x4o3No3WC73Pq+QrTrt7ZgixawhkvCAy97HvsANJ9frdEy
3pZT8kgrybO9j6EPZXl/YlCa4FLsqS67YLjFOyt2UkX6XiCc3hMIZBzMsqlOExkyaNsCs7jOJp4b
nNHMXvDaBvqt8qvprWEdsRhw83MfxNqJNB8JnsYN11aqgcaLM5RmLFbsdaVXvFuQqILrhX21V0gc
An4ZIt7WHP+VZDEyJp3ABW3vD6eR6t/DZkvtgsgDchxpqFmSaStIs6wJ/W70MjOhDrTS4chyVZwB
2Ttbf+HUFQUU8CyJ8rVlhwQaqmdXzBOMjVa/i8ZJ38tefbb5XTUnDe6TQjdWwuZIq2gmsLVgB0W2
zWo2tHbtk0K/Jq1xicSOL1pTlbdUWZC3q/kLjlNSjTBaTSvHD/qDrwX0SZp+O07ka45FsI81FrWF
SxbpDHSLZZdVPaLas8nLbAai9uDpbTsWXG9Nj3O0CEtr04xbIIHqwTRL18tFgi4jt/vmptNK9cZ9
2zlE2aB2uoBxP/bMYMKwW/TuRjlf+WnSsi/3y+mxEE565oY0M+B1mXBL87UuBlS5rqOtBopLD1uh
pNwOz9S0u5AHwCrr6dtBd6PSTTORXzWZc0h7+ZhkbOmlL3IvYKEBCY5GgMHL2ieQ6hL4yVd/dAEc
Vs3G7qTx1ulG+Uvcqf66NBqynMyUa49bgnUdTfF4xraSHqA/1nvlRMm6GObhpRhRClINLV4xlmCT
l1pcQMT1jssQREufBUYF6tPZuEW7a7GaYOQm0ixuVqTnKRIew3ZjsTHiOrHGL1k2addJRQBg0+Tw
/uz4yQT+tp9c9p1eVaedJ4zR8DCFmJvUwYRB5KhxTlU0VCuw8v111jjaHjWZ5VWV/W4LFbSrHqTd
uvLN+ODEjv2QNqPYofQkCEhCabf7CWk12RUbpjukC0UFjKOxM/dma5rXViQARWlB8NkxNzCPph1J
Qxz+HkKC4M61RgfnbDlI6YPCg+2ZumCdr7WJvDcqa2MhnX5uUVx9HnvwhFZtzc9NrtYAHMgOjcu6
vupE2W6TLObMm+x4b+AuXqWQGtY8PL+RT0LmJb3fFi1Lc+D5OBz6WHHP+M4ra8UHvUwuJLOPR/0/
E/C/LPIxIfxQFf1hAr4U+cevdfN1+n2F//GyX4fgtvoEM8YCdmswZnYxYf2nyjep8rmh2ZKC9Hcy
SkMw6EbruNCXgCKpBX71m6zSAbO+gI/5fxBm6li9/gZqhs7gpyrO1VnimhBvYK/b+N9+KhplBUdj
Sezduz1ZB5jOVbuh1K6TE4wSuK86O9T7gKjHY6FHYXfoqb5vw1Lrs10SEwPj1XWfZiv2wSyt/Q5i
WYf+T5Zj4AUBGLpbNA36btEggGxkQjCP2gCbU7DsBFPnP4wyN1+47N9SQcHBn3rouT7v26SYb5va
fSjKAKBLTkOwKqzUJ9hOsMVjjDdfumFRL3IhM3a1UBi0Zau/uIAK4EhokbzL8yE5NjVzzAKg7Pf1
32AxXzBMe7wC3NashSbEnQ/MdZMBgPjWyLrQWSUq9pZ9hrIDfgSjViQyCCR70B3z0BC1ZjSEvi4H
6sMbWNvhL/z+EZr4hlcPoq8PJgttZ0dL4BZkxHSHmeRxz1bIb1aNOTRyLXNk+isrczP3uY/nKiDS
w9Ff7Aypp1X25BVKF6mZPs7A3Rtm8RrwvVmg5yQqmkV9E7UuYI5CdasQE6+5QrHDvGtoaHDq2KEG
hvuqvXadQrjRgrVYgSUU59ppXH03mCJ9mpLUBl8cdOKlBlEerZIRlQlPjXC8dspU+zaHg+uNqvKP
STiGXzRullclxtfdx+drlk/FmV1PK+jb9UGmLT9GzuDUsy00dVu97vJd1009hMVypn7kIBOe225g
5izizzaSPLYEhoRV1ybJcEaBH4bwMEQy760GfdA2NMGP7NS8lBuxPxN6rRXJcTaKQ18bPCVJFeNW
GQXypUSOSvRPOTn6jlOFfrLNOBecMjnGXdOsefeIjXhjRhD3TPOeAW/6VMOluYeaNL1UZdicnVy5
DzFGu22ISMNaU4iqIzHbwcmvjPA5nhZpO1ScEy0rWbbIhCCVkMNJy8KXjGeTiOZZNvkOLR0iRLNi
Cm65rbViwjW/Eps97RyjcXdpKtW3wVK4KPw6I3ZaKEzf60DGUbJ1Y70Nr5K04G+54Me3VgGKTzKa
Z4MPrqEubDCQJAPe+Zk7XaJ5IDuHR8h6bnWfAHNAUeCiBmcnWpfA8zRUT7DJkl3m4J1YJczIUjQN
UebsEqE3921hvJhtSh6kqT8TiTIBoOyrZZTczRr0CfgUWeDPLf4zy9pGzuwz3mTlxTIbdYDvIGhg
/V1fz3Na3DTWDMpUUyiCpwlJYWSIYxfkbLpkFWwy0E372bbaDZDr+Yj0aontZS3iDampHlmo0CRm
EyoTcErNahgZ8xswBbxc4kHGCuMn2xx32EYWrUE5C9bU64ZG21Wlai4dwpvr0VEJ0daDecNgWW6I
jEUxptuNvgSHpABYHc2lRMDJQRAdcNaXftaiiy9E8D7VccwQBxoRQZ/ruVx00Hi3BqyyBezXKcaW
4+m85m0GIkUtFEPv2wdFVt2THlbGm6EnI6YLewXpOsnnR8RshJjGVXjV0yRgmS4LADsmyUKVDbQW
YWBBuFJQEkedQ1kqV33aGmsJlWIDSQnZyMCNQmCyHvR1b1nTiXDx4jYEk/Ls8v0Vpo95jA9lVtgN
uYBBfexQQdH/WotdhIDqdpUtHpaVXnXo1EMAzp6dl7VXpzJ8ACyqz3TZjNtlncWnvo2TCQbTQheO
pQVp2CobD8jzSHpZQH7wlMEZ1Ctgu8TeFPQCVwUM9AckJNz8O0meuTuMseIt0rZEqjHXN7ixkqPN
rJ/6kJu5tHruSo3V+a8fd5Yqaf1v7pglx7TgCoWRRRThx1VUQmW/H2fuUfWQOWuLXDR9BS0eGSaa
eJRkhZXvxoDbM2hRaXA5DPJOmMsbsUAY1wio+CTpklY96ACSmO5qbn6F1Xy6amokBsTdz2CYOpwE
tSPM0z/l0v9tJioWE/v/HiSzlEuXr2P0XvxULi0v+7dmQLH+N/BCkmrChn+ZfP46FBU6ygCELlQ9
v2L7/j0UVTYvorYhzJyq6ff1EqWURNINUw8qncTS/HfqJfOnMZ4OF3QZIoLbN+kBGCVSTv0gGahY
KGMXzONzLbtoejNYaOIfNuzW2OiIg7nZqYG+f9pHIF4y7VDIsCSWj7Ftvsd6qe+QkU1favR4GXmH
pemNHym5I6jfrzQ15MjDKajnak9A4EembpIOk3GP7Gle8nZZ6Ut2hCm6fa7sKWDaSRFCXpx7rUda
a9/2RdcLtSmtti6ne/URV2ENeChe8V6l0bR0xIuBLSz0PDtGjkZst2PTkRNFPAFjCmYzGcOz1edV
6dyH0iYBLPZ0QCI0RZnRMr1DrZkhj0cMJTYOfpNUf44qu527XV72jgRMrGe5foIcmnTEOFfvBPrV
W7sqpxtTpjmAtGkgmMuxJm3+XOZIDC//XID/pwsQPRgSm//9Arz5SnIbioC3PPq9bOf7C3/rWAzW
CJJAJjiWS1fgMNj99RJ09E8YtAWB2SjP0PMs8q3/BDnxnyyWBcCDWRyYzN9/a1ncT+wjaFpYdMAV
WHQ2f6Nl+T7H/t2c2156KYTcEmMwV/Zyjf5wDRIoB26k1Kc9F1VCrt6S+EiK6CKwIDqD4CAZA0Zj
zVhn26G1WGeTTlkfDKcgo2yuuDy9MNU1l8FpC2M6RJOmrag0oE657yVBstfD8sDNJqGvSQkcxWrO
mHmuMq3BZiImlPlWKiGqqUZoG5t4yXZFKiZrvToOZww2sniqm6k+TsvjH/enjvl4nh99qVEdGKkd
buqPmiFcyocgWSoJ/aOqEB8FxketkXzUHcVHDaIv5UjWjf66C/N9ZM/RV/qW4H1YypdxKWTMqSBc
HmeQcUYwuYSEfFQ9NpYwNPtLMVQsZZHrBOmpX0ol8oPbS7+UT2IppHzdp6YqlvLKWQqt2A6I48Na
xBp4KcS0pSRLswxcv1v6PI2Xks0BTOkxCaOOowLQF28Kkt+lzJNLwSddjryxFIGIpLObdikMyfPI
bnFeFTfxUjaGHxVkvxSTrMNKL14KzGQI8YXQ/bZe7WSX3Ibxvplsi6oU09ccezm1Ko+B9txRvQIk
bO8FMyLarRpnKkEecVBi+aDozetOPQEYkltGWQ6WWQh4MPp9/8IsmSG50hMvw21+Mc2+uSNr04k3
FmCII1w//VujIbsyMnFn9zeZm8IuGwysMIF+Y8ArKrymkOpKaE33KvDHPdaZGq/7JiY9L2PKvyQW
mOAmVnaIAFXlY3qE8uWf3TLOb029NS7MmZ6jwSC3vkAaSt02IWkP/HvY4dXG0sxsP+gIbAvRekkS
x3eYCPVr9MH22h+N4RBYBR24cjaZMQxeSOLz2gdWid+uL3wi2H1z21lZ8s0dhndiK7VtAWQQ926b
ijtOcmig41gdmnnJyiT6cwPIYkASIY21lZu3BWcbwabuidkxiZZOZWHCa17mDOnOjHZ/G+LUQnrm
8CnJ7PKCjsWC6ETE4ifUXuAJBYcS2fSdmZblZULUd7SdplrH4Ec3tRh7LyVK9Er1FecNpy2YN2uS
Oyi2oBcBKwNGM/xFH9yZG0q08Y5EUnPVBxFOjJ1FVFAgHmGEjBEuDTGgVzbFbFikR5BvGDp3CMHQ
13iT5jodCZ2JOdybzcL7xcSchOJJoD6KN4BUopNV6/Yt7lI/fB6NmcTTDqQAqmeXzCymb0TBOoth
nZWgfHaJ4dTJQxR179W+CtnOiEIzXxhb5/FhWB72pKmTBk/Pp89GvqsLre7v+wjMAyONqDNRDgRa
rK4Spffxa5K09ZyvyXrM7XkVmiSbTKXlzuu+kSN3ti4KgteMuABAeaFAVI7NA0YYQZ40FyNtQ0BU
ZTTy9Z1hWuihce44mypTbRLsp9YxXkkkGNp3OwE2ar1yjNwOE3jXkmje5oro49xPWsX/WH5yiPWC
1EiG4V3rP+RJZ02eXkHpwfReS58LS4zfl6L/TBb/crLI1v/PntTwD9rwX95bXaTRTxJbyipe+tuz
2vxkLE9W0MeLXgCU9X+e1Yhlid5GgyLY0CJQR0f7m0vb+sScBoQeVC0leRmv+u1ZrT7xT+Fck0/B
gHrR7P6NZzV79Z/HiwLtEqFwVBgOzB2b+uTHZ7W9qMDqtIn3GCm4OIS7GEznJgCcIPuaKJy2L/Vi
5eh2CCJUTsSH0O+TcWDN9GeeHKxFOzbTJm4KswiqvZYWYqhXJVRgfaWHqvnCLck5Tz4wQDwAJNmY
KYFcRgcFYZIs4FLaSaaWggXLQOoEM4eU6d6S+XsGw1y85o1Tvpb6DPqgj3HLr9g6OmcRsgXBHCuu
GNFpuVfkgWWtukI65U7yBK83TaItL/mgaiRxNN3IqnWfGLLxxgNtPSjRxhnvghF+fBaJ8a6GS3Lw
kwWgosrRhnUh86TAjl0XzhFMTfOlcYDkpnkGI+IDnY2hcsHEGkhKCUXB6J0skTyr0jVAF0kZAAMS
SjwsHcubvZA3ikLr9qoP1eM8OONNrgDGNEpHZ2pljbgK5EL/RjXvP31H8cIjXoSmBJ0jOUTh+SWu
I47Ad7ws+qpX1oPgRUZV88+MES5aVpjm2xTwOraIfABTDHzaIeXddAVuOvYparxOEeXI8GvkWxsL
xMhJFHyZWOe7E+sBE7cbdHVlGVEGY9fmOZBo8RmnjljVQzReYj/qD6qAsQKCm9d8RxNaH0jJbMzw
z3Fec4S//6CpTg21JgXafZLd8guzMx5v+Emb5oWIE9TIA2YCQaQy2oE1VsAkutUyyVcoyBoCv8ET
K8LhmQJCMdOOQz6AEyVs+4NXQvulEcStAdneVTBY+n25LNOeqYiAbqTZzFytH+Zvob9AhfU+d5+m
dLhr58bcTvieDS/1Ix/5ZhPf2j3OBzyDleaVIpMPOU/k18VPz1mbcaL/D3tntiWnsW3RL8KDvnkF
sq2svlHzwpBUMm0AQdB//Z2U7HNk2Ue+fveLh2y5KjNJiIi991pzlbM9JHtOE/ymNTH5p5clvLds
u4l63QJE/gbu9vqRuwEnGd9sYPVQyt9o3WCvQMcAc91gn6ni5tMIZYyTcduXoLb0rzgvgN3oGzo8
myQPoRfMfMENHFxoLEEKJKUsWrw+dYHBKSoJKBa7kVsUFR+P5aVpOd8f39L2tAIpI2JDi/edrwPE
IVGSDGbRLgKTOwnumMQYYNtwWElp+nIs49jIfbLA5vkwbF+Rb/XWSTjYPH1D8ctQ2eUHQKNAh214
e8s4BrvWNtoPHZ6zl7dbONcAVS/kLl8128O+iQA/JC6g9ckauCRvFKw3jpggb+zKzuCp7Dd6KWbz
gAu58UmsqK18bpgBi9pVVbvbHbA9EnRb8wP7PRdvwQ8IiI+FgypWfuNuSacFYeIOrvFkT01CsiXZ
hWGryF4KC0m+VgXPHYNqAxVrRR5xqDJnGhEgCD6ODi3nG/Nc6hsEnzKKG0wjcQf1+cj1SToA86PZ
86lhBZkhyhsLLi6BFFNTBZdVunyF/RsEtGkNiNUVfl4/Gjzy6O+KNx6TRs3BegqlPCao3jvCqCGS
uYK+75AoEFuIaDs8dSWf15q7dNqvxBhmW7XEE0YXcCNVW6xYwkRL/LCoGb9DAXoxX4gDtNATP7yl
O/l1CSpbED9CLYPQ4lSWdN6KHvejjvroqScRjiso7Pmh5UYnlhpP+odST+QxQL9wSPoMfvpGpyb6
BIq2nxXd+qiAj9nHmcShk8Vx9DKXWzieFph8URUnj6dEX9f2nDYeRnOrFoDYRVKQWqiTvTXYJuic
cYKOVuUbsC4Hj7kz4BlaqBFsbnCQWnytnQKhr4NxhcNdG8YTHGCg5ASYIw7n+F6HAkM7RkrVQ5fd
ILYTwysXfoQ0bvINVS4Ew3z0EKR37cZgu3M8o2oWvAodv95kLvualiij88zh7qaQfsLVELx02ACL
Kxud7hEpuS73b/e8bSIrjfSezxyZeFktvk0XqEA+gh9jysXn1LdtZJwM2ePAoDGDI5fs7rBTpL3T
2t/ux2CBK9RKP3gBH8AX+W1JI5+AuHboc9xKTuJ3w6ng9I08GxlSt2sZe93ZLk9XVZWM/YeJy2uB
IX974sTo2y9TDacpmqXTZfu3lRXaLiipKfPli5Fbdf0ypYCs3zlvAP7K3lYpY4R/aGe98ynY+LzF
QK6mkQ0mRPL6tc7m4NS17bYZSBJnwgVcCLZfbI030+qwkFWcH4bIZ1pEhlQG4SK7NZdsObL8WGKK
CYfkCBGiAqST7TZrcCVqRcq46SUzHH00OdX9WlRfCz1nsBVhZ01f2EohpvWMFc52rfPUlFTzN/Th
kJ9lLDEEI06mU0Soj93XphYvTWp05yCZB30KF5SznEOs7sm0fbAR20ak3Lp6ImyhvWKP8e+M2tMT
nt3RApZAbS8NQqIcnUAAhb8gGtFWP+eedDCG18lH2Zs7zWzkRZHBFHW9F+kezAmyCYUhtOnY98tJ
ZUN75RUBMootxaGJgqB/V8th36Lk2WvMGe9aewwL4T0kpk0hvLhVq20weygnJ9whglV1Swq0XcYY
lo5lp9VbpoGuudaRpxiMwNKwi6htTHE0DEkFkdutH2l2ae3L2hyDEJLcXh/m6ewUWVlGmjctY8jA
Mlv2i7tU3jHgtuyiVA0UEGRVBmRA2eutP/feWRUB21w+y2M+a/RFxGQ828aIhRwl9W2+lv7ZMxPu
XoNAAzfz8aj4RcvUoZ1he5becNXNo37tkR9CmJbmzJ9I5SmeF088Q8OS1aWSyr6nhoNr0ZMmGtlr
F+z90RpJWeuCz5nPyEdNmJNXbrKddLw89pnp7BfM10d9lCPC/l7shE/qY2TbxRYKqYprv8uK5Zrr
5b4WvV/vV7Jy2cdznZCP6TkI8JuXAFYOXjJ9JACTpIjC+4z7d3nInKWOjUqae6v0mHz3Tnev4BFx
/KndnTOL+QvGqSet8CiQJ6Wu/Txb7wHROFHjDWIP1d4+JMGInC7I7V0q1ZMMBsSHncvJaKeEbK6h
mbFEgQgkTSVrdynnhvMgOuNMY0uDCtSoUxkM9qWxsONz0Womd5IZisvgdJbS32kBvd2CFQu5qyjv
bFkgBfTP2loat2wCC0e+sd4DtHNPVWct92ljRVZt1UeT3u3B33YIa2lHLNTBcASFhBMZSusHhaY2
RroS4IBx7odcmDGsGf2hZAR9aZaqf8aGpV0W0WII0HyPn5s4u37uxwp1WWKaaLXmWuIM7pv3xWbh
pXFDGC33t1k+mV3iH73J0m50V+oRO68HvcAm4tdZ9uQ6CIwmnvdJK8X7WdumiYZXbUEindprHrdN
CKkO38faDwc9KbPI8UuUedj34hXV5yFJs/401s5rC5ZtZ8L6iYxWr7bVyjgtOIU+JaTGyDhp1Pye
wAWA41rHSTDX63ghd2/XI4B9SiQrCit/J3ZIDxn+5aZ31BUOOZGhCVQmSihnqozpgmsEhV9rkdk5
sJD4Hdeud/QHklcqA/N61S2cxSVTvYc8MbAGGoXYvGurGtNXFv90nxWmjFffaPFvjXWLC5/8d7hS
VnIgO11jYepy9+iDf3nRUAv5bHuJ6TKhNbK4a3sqkEzuGC8017niucjxab20rl+dVuhJYdAt5X5d
+5Uxps6/Fh7GArPSn6d09rnFYRza2jlHFzuaLKSkAXwJAiu9pFLcMGlV77QsGK5w11y7ZU0+A6eB
RzGYjOEn5XYhFOekP5dSLvk75baDfhIl4/GzJo3VHI6sWsGeodAgJ3qsGienlMItuU3ITuc0iyw4
RD7Z+B8SWbGoJ0UxtQvL9wK4huZPt6IgK6BzOZFZ2ZpOLqmmT2hQsDtaH3A8seuSQwHOxc99K90z
TnbEldQ7/jv9txWEmCMA8o1YN7udM3AGxQnGAbyeFAcRF8DeEOWyrZazbqy0o0zyUjmLEoUiQWwx
+uF89l3F/xeCdWurjb/vczO1cja7Ky5oht/Mm36onUcd8kMns2Pr4sJh5+MoCARkmjpvZpG2VP2I
09G3T0vDLhrPTJzK82ib48Ngj7DAsnEifVNnoB0i0eY4b/Scqt9g+am9cprIU3IJqwR0Q9htpWcd
EHYZayKheCu9bh6uoZT1r9/OyEgW54dh3YqSesFImCU5qDO0K/Pdtq18yjdwb70qpr6QpVsOZD+/
HOaflEpgHJEouTTM6Wj8if6fGZrMyZHSDlbm8JWYzQr60R+2k1c98+65D4PLYvqj9libK7XcLDLe
1gJN7XEOXK5Wam00Z2d9S1e3+SMXi3/O2EPT3Vu1apkYKMOpKygah4nE6GOTUpBHudcS2JSOkLq/
pblApqSWxCSMXtHnfPL68w/7Zx+84YC6c2jQm7oOa4NBy/d9kzFIc81C2nqsibQmf3iZBxVlbomM
uCPanY/cCryHs5KfhF0uD7Knw/AW+JQ3c/cgavk3l9/4q7tRt2wQeLZnoTv74R1pjtTWgd0eeRHq
qtDFH/LQ00h6UTRmuAggZblyJohwKH7WqR2pCuoJzufBgHmRR0q1W+VEOfLzS/UnBIOBXAtQNX0m
06Pb9AMxAOV6hfEyL45JQ4M9Fg3qrXervQ7qvb2sYLltEXBob2o0rG44lZxRf/4G/uK7gsVv2IGB
D8LiXfwwj5oy12hWs0+PzsyAJUxqlebxEBiJuY0HspSaLGkPuZVn6VXfJmvNeFYlN2ndG0++Phg3
TCMovn7+rv7isiAttGA5urT//gRMrK0hQbhip8da29KJZw7Juy3uNKBwIYIE9RUFwiCA18bamLYf
fv7qb2vTH9cum5cnKQ84K9rGH+fk9eKV0IZWrslCdsCxAImIGFZJXxR8IdniaBSbk289lV6inYyt
Sv2WUDfasjVvbXdBvhESbptmx35rNLWSqTvJ24wCpnoLaHp7w/92ov+mE20x6v2pxvXdwsyoTr9X
bPz2M/9RbEB5wE7lAVMwdaSvLAy/KzYMg79iiEwHeCOk0Bz+fVrs/AL3weTuAPbhAt7n9v2tA23r
vxAIynR3ExXoHhrJf9KB/lGv4SNvNWx62YZJ+EFgbf3p72bFyTAZOZyg6WYQr8TSQev9/PM7/Ydd
ifyUP77AD5t0N1uVoM8x3fjITjMfMVTwKR9v8iDK/m5TcLiS3x8IAKL47CWgWC2ALBR3P4hPFsgE
Fd1t47pwwFPDZhAadkN3wa9mct7/qIo59b9kDYle+kFvTaWtUQO8Oq/PuqXTo3ptZON7KZRlGzin
d4BLqB8Wvx6+5lgRc3EZvjEV9I2vUH1jLcC8XK5cnMXJ0yL7fbGxGRRQR7pODYUmtipZE86+8Rz8
N7SDOboaLoWJOXPPWF6AvEQjZ6ZjF7l2PXpkTjc+c7acgR/amcE8AxzPn5e5Gq6qRA5bgh4d1D11
QGWBn+ydInZmd70B5eZMH/Gq0KSEJEfLtjc7amjHtm5tzWvXq6IPMu1xojy16501pow926gvi35O
8Bd0+W85Cf+uGn+zapjkAfOk/W+lybf5VfypbPo/Kk2+/eBvS0fAHIoj7na0JYUX5j+akd+Xjo0d
Y4OO0Yl++cEB+waIcRFiAT/a1OvfrR3OLyTGMGbix9iK2Xj+0drh8frfPXCbW3PjOrG2mWi+7Dd5
2/erB36OVhFMb15WRsfpeshVuvRYAE09FIu61now7K3wYNONPoTYkEVw/UDP3cUglxtHBQf7krDu
7RapiX26yAY71Kqum7Q+Zp01nAl+9mIQxu5VM9TaI5B5PJR1igcr9zegiXAfRzoVz4Uf9ADwG6xf
RiubUChAEC6wERo/BGGbDHIAA46JdShkkES8bzztTnos8+zatUR3RnOLDlIm99Mqb2fVxNsZb6PT
GEepEDb7LhZBr3LPho0paCiDOEvl68B4Jx6KVkVi7Iqos+rlmjWDrFGgvPRpkHahFSWqVttRkBl7
etfrwdkYkHVqHrTaqd8Fy1jsVLsplCt7B8n0tisXe8dpEWyr2TNB8QQNTIdsNEu4vL6ACMGVsukk
+MFxUUP+4KXgbYVhrIxeTGTvzbJRJNrxCHTktlsCHSVPue7IRkIwS35vaOuthZPfsZgKwdCY0M6E
Y1OpMz2c68ygYqSafQh0QZhz4h0CMRyBx2DJA0gZLrgu0VunemwmOuVSgZUnW14At6KQhSuyA+jQ
xz2wiJic9zTqHM3FgTR8Fgq/6Txj+ITOe9UilY0sQDLN6u1JqW33zirrGCyYFuYc/kPpuMcgCc49
/rzILxEU5WuivSwWbUkaUQ50B1gX1jDPe9NOA4x/YjmZHOqePATlJ2X4Y+x5oEwxMTmAkjW6DbNu
AwiGJen46WEeXKgydKB3gVF8bOfWvpIa7Is6gVfvWDIeVDeFFq2QzBqIH5Q0O6qKjMVCPjXKffHn
9VKYkxem0ED2Wk0zzNDX7OC14tNKBk0he/tQNEnHvGyCO4nL6yzN4KvNrCfux8CJuSc2j1XoTtwS
fpfeB8Sc7YcUrTEtkwoyaE+T1FgjW1U6fEfnJNFufVzs1cDypa5mrfy8Lva8mzO/3RU5ukqnZtSy
rjX+xYp7Ia8LGXtpSxTACuHEhtIbMfOQcWl07zXV4wX20E1BcRgR7CzygKfO3jVQvvcu1o59YhXP
Hb7261onq9HyP6eB0kmi8WTktK72xG4rFK2nzI69Ks8fxFj6EcmBOs1KgNotDJ0nvZ79GK1M+bBi
lI6VWq+xL1R7EDzTDlODu19pl8QONqBdPQM27E1Nv8uRee70tRQ7itIsGhzYl1CJ8Bp6hXsyaH5F
eeqPaKlSYLujeUVDY4g1RnnP8CW5in5ixSZN0chNgyl2IGuHutNQaDmF/rwkIE96zXB5cuW677PW
i4IBzBIEkfqx1KwFaOSgnw2aqA7wTfBP0aSV2c5tfbJve+FGQ1WX6NQhS/JWh4uHp5r/UbsQ1g5I
tyRp0S4/53jZCC2ghzRKLw0Hqu/YW7meLfPPoweAGnCW/uucZIRoESJ1JmKERq/bP3LeOFEiuGef
/NbQ7pwHNynkjrlws8sAXYcrqWOxbc+I62TwBUzNQ84gnJniXTWQGaATx3RYcu2rsNdlX3XAdXrv
kk/8/8qrD5O7bF3Nut57RBlFeH7beEmo1jNyZ0LDzj/JBpZL6jN7wsV69LbUrapECjv5Qx8Zur/s
TGwjcQfxNdJTt7teTG8/CPNTIDfBDVhD+MDKeUzMLI2EF+yGBTgwjxo8F/l1VDT20QYmN05X4PWs
YDLBSUJaV5njDpaoIv64bGOMg/4xs4AEVeZH11WXIrWLk3LmF38iE9QDNhURNOueBgLDnoJgfEfA
9hS3rffVzRB+jQkO8CmtnkxjuPLsvrtpffOcN5jMnaapmAaT5qd3d1WWwGq2Mj+Cmvlr1w069nJQ
kM46NAfbHmBCOUuxk1NfXTh9dQd77nxc+0B3UBXBo80+wvMOnhYbGHNVG1eri09xNBe57/2KzrDP
K9br+sSIKb9T8EgKg01o1pIZOwJWTwjG1b4bHGJQhfO4zdBjt5f51SLVKe2g5kJA08BIDeQ/Z2wv
mZDuh6qc30/JMBy9xXttBpOhfFpl+8Hsp8Ncz9qeYTMtWTEGhLKOd3rqZaG07e2NT9etVEnUO+gK
RfLQFGuzm7B1zzLH3IUr/mRk2rsBPR408/nVgtnEWjgMJ59ENNaavCNTL3GPrL/5OWNudkg1VrnJ
Rw0wIEwkVtcE2bZazj6lSb2H82NFs90ah9Qr3k1j7uA795+WXl2pUqJY0dJfLa31zlVdJVuDeg3t
1jX2JA0BobWFfvZbhvCNzU6+sqruOxq18eQvq1V/rmhf9c+keCZ42mnTE4dznCeOuS1UGuk300tP
n8jb8DEE/hCaxN0n/FsyroKJ0X/GfJSHDAKDo6yjNBv4p5HX4rh6tgbKaXzky9IpP905qmH1LnHA
txOhuuSiOQ+WjXen+9CMRC/U584alRdEReMjPseMVuVaBguy7dau+1fIjYfo/0GXscm6+Nnx+ras
PqGj+ePR+tsP/X60tn9BxgUX73c1Nsf1/xytN4uFSyIH9rzNEMFf/S4M23wUW4OPU7lJqfxfURjE
GUItOfUjNgMx80+O1cyq/3CsdjBycEI3SdTgHSBQ+jESt2MPrWfXkGe71+bYsiv2p7GHoNH7905W
Z83JCYgZD8l6XvE3dMThPDNWLvA9uCa9xlnrADmg8A7y5KARV9E9QS2rrgAP5MVdD5L2I1Ym74Oz
uvU5Y9256qfCRB5NHxCJSS7OYAvwUZcBHKuxqC9FKzWUYFnbXDPXbUnXWXiMJ7yM6ZqZLaXo1AUf
xnyx/CO0R3qwvVzc9+M0MwReTMdjmpZnHJawpu0sd6zrKEjB038aey17PyCAExDsmzLdtxDn3Atj
n6xP91oldMJ3SHnNZialDCamG5jk6PL3GNrX9gZjFB83m1Xn4axaSMw59oqJ9LwTkL9ArdS0CYDv
gd0KTAfCHTPqG98kb2TiLMv1hHS8iIEBSuIEOkf5kcz4yECrrn+ZpkoBLi4zEhdhJUMBYZZUs/Cg
iR66VVtwjDIBDGvf1ASrDJtFRYNjBTEfOwVY4qh0x5QpFCY2M/NKjLhkHxSvjCoX5ZRRDyDcwV8K
DyX0THtMD2Y5J90NFlftpE9wOIg7S0Lo0qSCAFoJC5XVp0zTxkPqtCZnFHdgjq10YuiNero3qsnZ
u0G7fAKrCKEEoVa0lEuGt5PJ+OiL8gIRzjo0yhYnxEHDoaxHEPmybtywGqttYZ8jckfgjIi6iZGo
pbeOGdTwwao5du20jO3esTicpM1RreRydGIS75JaA9VdktMertrY3laF+1w2Ir23GNXeTdno3VMQ
jB8yLJbEIwBl6dpsvud+aNBTNPkLB+DkrjKbBShcq5HrNgxjlDAFj+lNeTdBUCYvWTtbxzlztVuN
Ti0nmI6Qj9HrrEviJtVBQ6a2csSkdHpB6wFdO6ncZ+ka9SOanxJrQpKlDKULac0R4gZvjhp636ea
o60bBr0Su4Ez02mCVn+YqjJ9QchsXQUrOL3QaJ3pie42xaTfdklBidJVvxqT7Vah5a3M+NFc1MSN
NWu4YM0isWb1Tt3kPBUgQVQx2FZoW7N32WTwkMzztSJTphvGWxSC5pUxz82R1tyAXXfhux4q1d1n
lVvjkZhJKk+89vNkZu8Miai6r3z/zDctdrht7WhRrX+9on28T1yVnWvOJE8pdtn3A1oXsVkOzS9F
0+lX2loze5fS8s5TNQd7u2i/whFKjoaDaRGwIwOtxCseg9If3pOrUb1byjV/Z019vsFe/fKdxLsF
qJQnzNX67sBMxtwF3tTv8xYAaQMXEw95dWAsvNzWQe2cp1kB5agX9HJALgLt1sC/G64OZqyQnkd+
V5MjBxalnbuoAZnCXcy8LHP8uQrzXlOxrREg30xDG03JhAm6Uj24wSqLUk2nIFbTudGDOgZSaL7Y
BJPd9lr3nK/dY9Fq3uvsAK/luIl5IkSE4zH3xBvx5HWFfSXQmF30norfLVQSe3l6CmzlXS9TJ3k0
BvW4QmyM0Yc1X9xB98N2Wps7jnrrZ8nERoaGVmH0EFMLnDO1n9PMdiJX4rXc8nsWyCFBek07Z/jQ
OxrsQKQu6Fr1CDUBtVwxd+chb9NPnBnzr9WE3UyN8mIOybRz3GmOs3EAd8j88GhpHlPqeZqWy1tY
sl26dA576iOeOFqUNwbKtX3XGBrzaLIM7kuUqluQucHccpPyjCpHbYjAEo1XJiYSqs2snx+aaZvu
lelkPWLn8T+Xk2DGOeSb1OotOxwY0PJgawkqBRQAnwY0uFeBi/GYQ/mmFIb1ON+lRp0gc/UzkCsT
uQHeJugi1FDdeMggljAdLGRJFoN71BAge4SPcqGFjX3ZLEA3hG/h5yZAJur1+Ytkz3swqEpOqZao
iF/KcLoA5IGaIjggJZgvWr+Z1P3W/2I3nfNro9mveSvNiwE7BqyjFAv+c47oDOB4yCEiguf0rwOr
LC9QCwmLKdYvmQ5HTepVg1x3fm707nHeIhp8o8uIMmBsklPL7nMYZQed8Ix7aXTNTnNNkJE2lv5j
qmU3VTmmeyqChNqnMzD3OZT5DNL3PO9fCkrvB2kqLCdEyz+lHtZlI+va81RQynZd4lTXRAmlkaPq
8bqp9fSoTfPCwFC4/cFGoXTPnSviWg+mu5z58qucqWxDkwhHjj22/5K6iX3mHQJUAhUaNQ7NISoz
R9yJRHP2lbk0J6PuiThRZMcsSs8vWgeq063r5tAP8xDbRDl9AJuZxZXfQNb3yo+9Mj4Xsi2xJpvr
ZZxEOoSumrI725fULaoB9S8y7BfWrH41rLHcDcYyPBbwPXdvmrkm9cs9FjI/tjoteeQArW5c3esP
U0AnZVEwYYEnWQY5RAEERqhdaKq6TDtNSJpyG/VJPX3udLv6KDFU7bHol6/C94wdKRd8r77/MfOr
rx3hFydLY7vXvRJokcOfgOUH4QIP+wi4Tj/pRUUgaG6Ye9SixgX8avElKHyHtTPTDkAY4H6qpLov
+oqEFcLE9m1fyNPAgWQ3wF87WuSz7L2Zk5dGQX4ozWy8ysmv5Dma6QD1hqbFOqqZaG6bcWd5qv7S
E8oc8d6fYGAZ0bBk7pH2voxy53q1iVCsbVEi4QrMfWM4X6Te3g+Dz9GB7kwEx/nAEq3BnNbeG7kN
KDejDMvLlRNGBZ211Jsbr+3uPWKMAyUPK+06asRyivWsfvAB6JzRdaT7Grx1iNmeuPG8RiGbZWe1
Vuke59q1JTTtIVDEF1XuEBwJO0LkY4l7rPh3iGKyPTiIPFwblPxutcAkGYy4zMvqoHriiPq1rWM7
bSgbswEg0GitLMKedav1qNJY270nYh/z41rAXGLU9JX8BmAPC0C7HL1SiJTcYSMrM/YDa7ifaHR/
ycWC1kbj9iOV5ejOY02CBNxbkimzcHQGAyBbO5xm0QUgAVMq33z1z6Jf7qvc+Wgn3vO/A87/Ty3F
7NlgQPC/RxWPzYDV5s+jit9+8Pd6yv2FtgGCHOiaDsjDrWb5Tz3FqAKHjYVUB/jFmwfnv2POwEZZ
/t0A9Pcpp/mL7W/OHddC5qMbGHf+gc/GtLbR33fzdnj5OGyx+hjkQDAU2bhF308qAp3+QJJI7cpG
bXmPf13sVnpqJ1Gt5Y5MFBUjODcfrModD8Bn150xLgHhSD7gkbKZnpbSFVeWwr2N2NhnbqCPTkhP
v46Q2wJxg7C8Yxj/kLYWXKqe4DK7q9BPogMeyrsJKTNdnpQlj+UkNDDtRImywTOLDeBll+DepF2Z
j30ts7BtTWZ8Vipu7GlUT2BXkBPioI8XKqVXXSNdy7eei6b41WqpYKAK3S/B0j8UQPEOcnLsOrSK
QTzkxTqc6ZFDuPOoH1E6ihKG+Ip5sKrnywLr5yTSWeyKYiUUD3fovleDFUFGX114K7pOWrFmzmgS
CZ4a5xkQqDdLK4MVXS/HFXHYTm/thMOYdC565x9Btzy0OjxNC7rKNUT4qzqZRVzMnG5TppFUU4Dk
EFwm+x7VbcQN0+z82iDVG+RzCJos4iTYRXxZ4mrt7XLvOZp3FgXHy6RJGB7bXrufzRRH8FxDEWUX
RbdRVuujdGoZT0v2Qtyl+TwJxz3Ntjd+qI3GDDMlEf0vVpPctN1i6ruqgcSGwRmsoX411om1PgIs
KjHk50RlaV/wQBk4DtGTaSs2UVWgz6vJJojoICMvBllM5UTFjbDIqn2Sp5H80vqivCDAZpTTQZiq
O5LXMh88URMvmCOOuZ1F3T9oXq/3kM01kfWhvyprDPs0dy5e2cH3MOa83GnlqpUhEwJRhZQP5Y22
kK6goTybwXocmm+9pOa31lL5rdPEL9r6Tu23LpSX1P3Wk9r6U923XlWgmnxrXRFC2xXTfdKXgrSu
t3k3Zcw4TntCn3Wi0u217Xp2i8Vc3OdJH5T+qI2LS/cLNH0lAmYTDIzIlsJEN0NQKd3G0efriST0
Vu5pKtaw5yrdeIdUfb6fOGAJxuA1CmCGfkUTMZye4xyEbxJpwIc2B8WovWSlAyrPXD2Ocb0rZmLB
kECwu8hXApO32Guq+IeaTZwYBc+hIVqgs31JnLoUN1qxmEZEloR+u46TO+4rVNlJNMiMDQZZX43X
3MiOTc34hurMSiO62Mtjl2Q05TlPzO/KvCLeiFwL66PMbGK2UpHeymyRt67M/c2G10ZuRqFNskOr
X6+62iB3EpspwOtjvtTtnau6+oXOPNJUTxrkErHNYi8HGAD+qSiSE0nNyYmweG0KHdXTEkj72dkY
Wz1SHrTyfOXMO8LCsfoFt8AGPtRV/zCMXn0n/TY9eOR+Zsbo3AbFmD4lVTtftRXcQzq06fpNovTv
7P5vZvebJAxhyf/eEF++dpje+z8ofr79zG97oWf8ggQQkoOlG+YbBuI/eyG0O5v2oe6RzfK2q/FK
/90Ltz3K9DeV3m9qoP9uhh6MFjRC9BgNRuneP9kMaV9+vxWasKQJHYYCg1gRUoS+/f13kh/c2sOK
UNg5+oRBwg3O/LBICW3/7prcfdtav8dJs99//yoYbg2Lz4gEwALPbenb33/3KskwStOCpnsciho0
8KgH5BLMSfNxY1TdCRcJZLWS+xKDGvo7dd32ff3pxekh+DpdVEgH7g8fMXMr7KAl4/HUDho2kU5N
7F8Gr+vo5UNB9fkpDUQbhKrOrVitS/511lgldm7nWnHVGXRyBtxT/ehXmF80eR62gBDlFxjSioqR
Sr907U6lKZQ95ZELC6E1/vkF/MsPgeiDLjAMQm6kH66g3tktHco1OCJ5N3ez3ax7oeEny/GbPEv8
8aT5llgbNQFejdzBzY41kLbc0FdEvxjMd0Tl4XlVvo/tEpFjEIChGn1SXOdgLDGFINEW+dBjw1z7
ItRI5Dn8/DNs6rHvTl1vN4HvuQEtbJ+mufmDIEshCh8Wj9BAtq8p7gBbEK1GNLXH2eXnr7TJyP70
Sri1QYhDHwLL8sfbzaHcRKvBK40IE7D2Y8nrXV+eu96S97rDTPznr/fDQ/T2yQKkNfT7Se8ONkLT
97e3aai6pmfC66V5d8+KoghnT/9Ou/sX18/e5HlMFIgxsX5UiQYdy0VFMumxM5Hl+ly11gryY6n8
p59/nDcV8A/XzzHZUGEPsi78aVEoENAHE/fg0VxB166eYu8JuGeWhS9uERY4JSNzQdE2ffmwjDjK
28qlIVwQipwBCrsSjiPvu2Xz/LkjzKfW2HpOsJbWYwqG98xMdDnk3JvPY0qrHmC+blPUFRNddTvl
RZBfgFDyKSOV6ap3k7vmx59/SOsN1vmHT4lv1KDjhE4e7W3g/FAFJGZSDdnazceJTkRIONN0wtmq
TtqGjW2whIQuJFmwbyBlN7gsN29xBMHLINfY0LMtEFqkOvBooUPE0q0BrZhlfuMEi/3R2wC2HCB2
nTGZj0YgttxnnC1RR4v6iUAeYqnJpGOiks3PBAaacb1Bchl6GOzmH1nOyqPbA9JNB9OhlwFcl90l
OwogxjtyxPMjbdSFfg84Xtz3xkFZjf9EQ6k4FRpi+9qQnCghpHzJKKciAZzmBDEZRDHuGhmOG/4X
UElFJU7Tph1NG71hO0RYdiEG9wZd/ZIZzEsPT7jawML1hhh2mCi8LowsmOcCIEaWZB2cxIZKXLj0
g9ayhXyyQYsdhvRPFFLiHXKk8teWqFQm23qAv2fLUUKR1OhW2OBzfO/hkY29DY+8Bbafig2ZDDbQ
vXU3jHLv5xsmTOTTLYhx+ZkRKq5UyMvajBczg8WsbVBmjbMcTYmcU6nXnYWAP4iuTNKHD07zqNU3
TdLi253he4Tphn4mRBLRZ3HZrmdM1hbHyA0UrTZktAHG3ME7Tlcw07dEbXGxN8S09kabNoT+f9yd
WXOiWBvHv0rX3GuxIxczVW9iFrN2Z7qTnrmhaLUFQUE2hU///g5IWszSPcGaSg13Kh7OeTjLs/7/
5Y2c9XB8FkIrkzhfgC0FoloJrcEoKzXVifHAfwTWOVmOUinDtDATkre1U4JmzAgBfZ2tVNUJBRy2
7yrUG0cbguShsoy/LMniOg4hJ+LVbEBAFbDaa/C1XVf9pNjA27O35aOUSlp45QGKOIpdZaLGvPPY
kKNPRRxcezYkFFQF+USUgmyYCXBvdwHVbCxJF5FCbbk00zRK3DazP5fz2bU9M/52BUy4m6bSnS0D
HT6PjQdSLhwFg2W4hoUVTlPDuofIenCqxrF8ZW6yNRE1AMnDvASaHECDo2xO1WwqgMtNSnzYogAz
lxeVWyvcXPaIOJ75hDFAmgH+vCeA0CMBiU7AXTuGeoD6OyqMyDrhMDKHHEMk08wGBpjqa48agRlA
63GS9C71MgyvUgHDHm/0wpmvE4lyusTEPqgQ2yVlHt2WYPGwTSUyBm8hayMXUKFzWQC+myHLxeiR
SOaTxqWQbnSiEFMh18UljyZ17WOonpfjONdmX+dk0EwMMym+qnm8vlgMBvnIzy1SGMmiusJRFwFz
4MODbEv5KJNZX73Cxw0eFMVMJevGTGRQGSyzhIxnBevqQpotiMiWmy9aDsUaQHHuSPJxNmpBCDx3
kQH5oFJOLxur5ZUH6C7pKGT/kiVI3HWZkQLjGZvVhRUBgmSEWQEf8CAhgUHyAYLPi+8wRa/DG7Du
gqEdoRSQHCwBAQkXeYSPdejNODnk0h4cKVIWnUj5WjlhxPGFaWCPr6lpA1STDGbwUZOH0lprtwoL
9aaAPCAb+jZ1czguw3wqz8mqsQKpPC/m83jsmtTbGaFn3sOwsLxa6iblXhL6RRBG7i1wtWgnOSof
vEnSEQlYc3oHrsPqKCPtHWJtw78LZtrq63yu+kPIlNdDr4de2NOj4izwZXW0Bv/0NCKOcB+mSTBa
eXoyKXsuZO9zKmPnMYMEQx4w4CC0L0oQU8+LQo1uVLe0L8wk5uQi6EMhtApJ7TxcRidWnDNyQsm3
Iq9xqGcq5a9pqZxopK7elmZkJ8RUSv6jWEHyAJyJyGNR6QmoItJZnqcMqWeI9DTMZbht/bl+gmtG
v5XZGI5LaCXOolQpzyWwQ44tM7Mv0FX048g2LNJfg/giN5ivsuoW39GB83uPWroTNVRWF3Mw6Ygl
6ppyJkuL1RkhVf0SfozeXcEDKEAhvQW8CxM8Cr1w9b+pzcOFbhtueieZVDzZYLPdxRLFj7Hpyl/h
JCGlhjwrM1+FZ8lcKdekOUrqpb6RiKSwKchxpoK7utJOIxdqxoUPiFEezN3TULVdSvuzz7ItIrFp
6h3p/lo/oajzY2wvrfzId2dQ00d54Z4hftMfx0QI3KuYOlxAfguoC6lYJfiTLmJpGKuk6V1Z9oII
hbYpYGcgWq65N5u1slmUo+p4/88YrNuBCJT0k8oz+ymbxsXdlFL3NGmcm+LXiqHnc/i2m15vaEu0
9DMTmE0IVbRlAledqnr8WhuBQ/pONpn+/puqA5REDovgRqouNOSA1Oztz72B0cf+VKhJxo8oLpJg
eOCOkF4Sw+sjrOX5+j2vjaBOQBJMVDKJ8nS6kxSUQZ9qQx0Vvh6kGGVLCsLNDR4r2fj1DXVa078v
hTH586mYjTMvXO66NigL+jUZ7LWwMxOsvo5hJkoFHse4KwOLegV5oOLo1yhs4qof+O/LwJlQyTX0
yD32xumuDPDNinLPTjNBA26Mag0yeXC+iAsLdVcKsgysqOA/oGDqva0EHTW84/BBIIbey8AVAHOx
uPYWgixbML1hlxGOquXz3oRAJAqnQ6c5oMJNYXHmS9qPPa81ByS9j3NPrIX3NnpcksKF12n4VC7K
TH+Gt13oTKrd4Q+sPo9BI8OB8z7nAHFFUSHZSQqq1VeBLdB0FbBscT3ZCAw2Ah3ak+3J+e4ORlJm
jbpTNbngo87yD9QDTaESzVLAKd4uBWb87lww9T7uQhjIqRuvrnrtvaNDAfSg7lKA/IYaX+Y83qjq
aktBVgCUblz+Ytq9o/GDkKR03hBZC4qKg16hWFdce0oiXJB9jKItBOc7G7+oeOy4F2hmn4wu4d41
69ePQ3J3FdTv32DvhclIXO9uL1ABX/lFBXFPvfqhIKIaofwBpUqh+3OrgHPBJEkELeSfK8m/sGAe
ba9j1wsmldXlTZPnjLOXbmisjae/by2NitgWRbp1ozDC6mfXNof4/EdLSNVy3/mxWf7Vc7Z/3w7w
6aNbz2pG1Xx57k1jBy9NUf1QbLt54yyw3P4XON+cdu0Ek4/9+UdPfv+t1c+dVfCThhPfadqpTCxJ
hDQ6t0tCddhGAZYtjXO6e8O+s0ycpGmp6jL5a83nZ83oR+XgNVEcO4H3PYz3eAZqPbtrr4EsCGNn
0iIRqZXX7i0vl9Nx6lFM2IhAiMQEwaL5/HaRDKeBs3baZNCwOx9A2I1J9yH8/gHhZItvbXoHSxbp
Yl2Fg2cz9ibt6V17ELq2fDYN41m7yxwMIm7fteVzJO55TTvV9Far/LyuDY8m1F+12q1N6M7tBuB9
h157RdamSeemlxPP2dtFNOg9mlG8fWaPwnV7WpAUwUHftcOXT/cmQ1YOsF4u6Vk29oumi9W8EEpI
88XbRXEVEpV5ImbYVA5wvFwDoTZtulhv1WDXNl+8vc/XDvhbznLStCSaViTcds0XXZpOEmfsZsk0
TVtzmhRV7RAi8cauN3PaDj1cLejtXWfftcdZkOzDl+C9OcCCAV6R4g+w5KPW3gTIiDAQuvecqsAs
3m/6IB0nL2xvD4Fwa2B17/TN9Fvs7GlPJH8YB2k6d9rn1tbN0VXQgs/s3AHInFza1sKkfesAq0e0
/zK97MvJ77+koYnGXyZjO0Djf8ER28yLakupvSqdhf5TZoyufa8e8LQeYIt51LX/t67XUhyoqD6E
dvZaRXhHgdzGUwo8W6+ydg11FcXHn9CRdez3nRtOph9GyZOzzYRXsBnO28+2P6u6kecoWkTlyAHO
5foBTydiU5jSUTyfkf40SaatnUutI6Nd3+zn6aZtVap0+gAG65fUcZs3J/aUrY+ua3dfyXjuKOR7
D8tmzwpWcQQdYP49OJw7y1naXpoEF4TXrqtEHqZJ+uHZzuO1PoAx/OAl45CMkda2svW1de77y4iV
r77N5zxNjx7pp/6nJhD/3N/azjVxxziYOvEf/wcAAP//</cx:binary>
              </cx:geoCache>
            </cx:geography>
          </cx:layoutPr>
          <cx:valueColors>
            <cx:minColor>
              <a:srgbClr val="5ADC98"/>
            </cx:minColor>
            <cx:maxColor>
              <a:srgbClr val="176F41"/>
            </cx:maxColor>
          </cx:valueColors>
        </cx:series>
      </cx:plotAreaRegion>
    </cx:plotArea>
    <cx:legend pos="t" align="ctr" overlay="0">
      <cx:txPr>
        <a:bodyPr spcFirstLastPara="1" vertOverflow="ellipsis" horzOverflow="overflow" wrap="square" lIns="0" tIns="0" rIns="0" bIns="0" anchor="ctr" anchorCtr="1"/>
        <a:lstStyle/>
        <a:p>
          <a:pPr algn="ctr" rtl="0">
            <a:defRPr sz="1150" b="1" i="0" baseline="0">
              <a:solidFill>
                <a:schemeClr val="tx1"/>
              </a:solidFill>
            </a:defRPr>
          </a:pPr>
          <a:endParaRPr lang="en-US" sz="1150" b="1" i="0" u="none" strike="noStrike" baseline="0">
            <a:solidFill>
              <a:schemeClr val="tx1"/>
            </a:solidFill>
            <a:latin typeface="Calibri" panose="020F0502020204030204"/>
          </a:endParaRPr>
        </a:p>
      </cx:txPr>
    </cx:legend>
  </cx:chart>
  <cx:spPr>
    <a:ln cap="rnd">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14.xml"/><Relationship Id="rId18" Type="http://schemas.openxmlformats.org/officeDocument/2006/relationships/chart" Target="../charts/chart18.xml"/><Relationship Id="rId3" Type="http://schemas.openxmlformats.org/officeDocument/2006/relationships/image" Target="../media/image4.png"/><Relationship Id="rId21" Type="http://schemas.openxmlformats.org/officeDocument/2006/relationships/chart" Target="../charts/chart21.xml"/><Relationship Id="rId7" Type="http://schemas.openxmlformats.org/officeDocument/2006/relationships/image" Target="../media/image8.png"/><Relationship Id="rId12" Type="http://schemas.openxmlformats.org/officeDocument/2006/relationships/image" Target="../media/image13.svg"/><Relationship Id="rId17" Type="http://schemas.microsoft.com/office/2014/relationships/chartEx" Target="../charts/chartEx3.xml"/><Relationship Id="rId2" Type="http://schemas.openxmlformats.org/officeDocument/2006/relationships/image" Target="../media/image3.svg"/><Relationship Id="rId16" Type="http://schemas.openxmlformats.org/officeDocument/2006/relationships/chart" Target="../charts/chart17.xml"/><Relationship Id="rId20" Type="http://schemas.openxmlformats.org/officeDocument/2006/relationships/chart" Target="../charts/chart20.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chart" Target="../charts/chart23.xml"/><Relationship Id="rId5" Type="http://schemas.openxmlformats.org/officeDocument/2006/relationships/image" Target="../media/image6.png"/><Relationship Id="rId15" Type="http://schemas.openxmlformats.org/officeDocument/2006/relationships/chart" Target="../charts/chart16.xml"/><Relationship Id="rId23" Type="http://schemas.microsoft.com/office/2014/relationships/chartEx" Target="../charts/chartEx4.xml"/><Relationship Id="rId10" Type="http://schemas.openxmlformats.org/officeDocument/2006/relationships/image" Target="../media/image11.svg"/><Relationship Id="rId19" Type="http://schemas.openxmlformats.org/officeDocument/2006/relationships/chart" Target="../charts/chart19.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15.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76200</xdr:colOff>
      <xdr:row>11</xdr:row>
      <xdr:rowOff>51816</xdr:rowOff>
    </xdr:from>
    <xdr:to>
      <xdr:col>10</xdr:col>
      <xdr:colOff>129540</xdr:colOff>
      <xdr:row>23</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E695ADA-B2CB-5D0C-E741-D25A1CAE45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77540" y="2063496"/>
              <a:ext cx="3710940" cy="22265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167640</xdr:colOff>
      <xdr:row>13</xdr:row>
      <xdr:rowOff>19050</xdr:rowOff>
    </xdr:from>
    <xdr:to>
      <xdr:col>9</xdr:col>
      <xdr:colOff>60960</xdr:colOff>
      <xdr:row>28</xdr:row>
      <xdr:rowOff>19050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6231D4E-F303-8C6D-6C00-27360F15BD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49780" y="23964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306054</xdr:colOff>
      <xdr:row>10</xdr:row>
      <xdr:rowOff>7620</xdr:rowOff>
    </xdr:from>
    <xdr:to>
      <xdr:col>14</xdr:col>
      <xdr:colOff>510540</xdr:colOff>
      <xdr:row>26</xdr:row>
      <xdr:rowOff>95250</xdr:rowOff>
    </xdr:to>
    <xdr:graphicFrame macro="">
      <xdr:nvGraphicFramePr>
        <xdr:cNvPr id="2" name="Chart 1">
          <a:extLst>
            <a:ext uri="{FF2B5EF4-FFF2-40B4-BE49-F238E27FC236}">
              <a16:creationId xmlns:a16="http://schemas.microsoft.com/office/drawing/2014/main" id="{1CE602B4-8FF9-ED59-4168-7653A0A80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60960</xdr:colOff>
      <xdr:row>36</xdr:row>
      <xdr:rowOff>167640</xdr:rowOff>
    </xdr:to>
    <xdr:sp macro="" textlink="">
      <xdr:nvSpPr>
        <xdr:cNvPr id="2" name="Rectangle 1">
          <a:extLst>
            <a:ext uri="{FF2B5EF4-FFF2-40B4-BE49-F238E27FC236}">
              <a16:creationId xmlns:a16="http://schemas.microsoft.com/office/drawing/2014/main" id="{AF780CB2-1F08-480F-A37B-07DAA10855A4}"/>
            </a:ext>
          </a:extLst>
        </xdr:cNvPr>
        <xdr:cNvSpPr/>
      </xdr:nvSpPr>
      <xdr:spPr>
        <a:xfrm>
          <a:off x="0" y="0"/>
          <a:ext cx="4328160" cy="675132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IN ANALYSIS OBSERVATIONS</a:t>
          </a:r>
        </a:p>
        <a:p>
          <a:pPr algn="l"/>
          <a:r>
            <a:rPr lang="en-US" sz="1100" b="0" i="0" u="none" strike="noStrike">
              <a:solidFill>
                <a:schemeClr val="lt1"/>
              </a:solidFill>
              <a:effectLst/>
              <a:latin typeface="+mn-lt"/>
              <a:ea typeface="+mn-ea"/>
              <a:cs typeface="+mn-cs"/>
            </a:rPr>
            <a:t>1.Sales Trend</a:t>
          </a:r>
          <a:r>
            <a:rPr lang="en-US" sz="1100" b="0" i="0" u="none" strike="noStrike" baseline="0">
              <a:solidFill>
                <a:schemeClr val="lt1"/>
              </a:solidFill>
              <a:effectLst/>
              <a:latin typeface="+mn-lt"/>
              <a:ea typeface="+mn-ea"/>
              <a:cs typeface="+mn-cs"/>
            </a:rPr>
            <a:t> Report</a:t>
          </a:r>
        </a:p>
        <a:p>
          <a:pPr algn="l"/>
          <a:r>
            <a:rPr lang="en-US" sz="1100" b="0" i="0" u="none" strike="noStrike" baseline="0">
              <a:solidFill>
                <a:schemeClr val="lt1"/>
              </a:solidFill>
              <a:effectLst/>
              <a:latin typeface="+mn-lt"/>
              <a:ea typeface="+mn-ea"/>
              <a:cs typeface="+mn-cs"/>
            </a:rPr>
            <a:t>December having  the highest sales of $66,642.78</a:t>
          </a:r>
        </a:p>
        <a:p>
          <a:pPr algn="l"/>
          <a:r>
            <a:rPr lang="en-US" sz="1100" b="0" i="0" u="none" strike="noStrike" baseline="0">
              <a:solidFill>
                <a:schemeClr val="lt1"/>
              </a:solidFill>
              <a:effectLst/>
              <a:latin typeface="+mn-lt"/>
              <a:ea typeface="+mn-ea"/>
              <a:cs typeface="+mn-cs"/>
            </a:rPr>
            <a:t>February having the lowest sales of $19,985.50</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2. Top 10 Customer</a:t>
          </a:r>
        </a:p>
        <a:p>
          <a:pPr algn="l"/>
          <a:r>
            <a:rPr lang="en-US" sz="1100" b="0" i="0" u="none" strike="noStrike" baseline="0">
              <a:solidFill>
                <a:schemeClr val="lt1"/>
              </a:solidFill>
              <a:effectLst/>
              <a:latin typeface="+mn-lt"/>
              <a:ea typeface="+mn-ea"/>
              <a:cs typeface="+mn-cs"/>
            </a:rPr>
            <a:t>Company C being the least customer with amount value of $21,937.08</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Company D being the top customer with amount value of $67,180.50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3. Sales By Rep</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Nancy freehafer generated the highest revenue of $104,252.34 while Jan Kotas generated the least revenue of $16,350.50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4. Sales By Region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North region generated the highest revenue with 32.57% while West region made the least sales with 20.97%</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5. Sales By Product Category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The beverages category produced the highest revenue of  $110,577.11 with fruit and nuts being the least revenue generation of $27,999.50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6. Top 5 Cities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Among the top 5 cities, Newyork and Chicago generated the highest and least revenue of  $67,180.50  and $41,095.01 respectively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7. Top 6 Ship Cities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Newyork and milwaukee generated the highest and least revenue of $67,180.50 and $37,428.00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8. State Performance By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New york state generated the highest revenue valued at $67,180.50 while NV state recorded the least revenue of $15,365.50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9. Transaction By Amount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Transaction  values are highly skewed, with a large volume  of low-value transactions and small number of high-value transactions contributing a disproportionate share of total revenue with $(0-1000)  at 218 transactionshh</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900">
            <a:effectLst/>
          </a:endParaRPr>
        </a:p>
        <a:p>
          <a:pPr algn="l"/>
          <a:endParaRPr lang="en-US" sz="900" b="1" baseline="0"/>
        </a:p>
        <a:p>
          <a:pPr algn="l"/>
          <a:endParaRPr lang="en-US" sz="1600" baseline="0"/>
        </a:p>
        <a:p>
          <a:pPr algn="l"/>
          <a:endParaRPr lang="en-US" sz="1600" baseline="0"/>
        </a:p>
        <a:p>
          <a:pPr algn="l"/>
          <a:r>
            <a:rPr lang="en-US" sz="1600" baseline="0"/>
            <a:t>  </a:t>
          </a:r>
          <a:endParaRPr lang="en-US" sz="1600"/>
        </a:p>
      </xdr:txBody>
    </xdr:sp>
    <xdr:clientData/>
  </xdr:twoCellAnchor>
  <xdr:twoCellAnchor>
    <xdr:from>
      <xdr:col>7</xdr:col>
      <xdr:colOff>30480</xdr:colOff>
      <xdr:row>0</xdr:row>
      <xdr:rowOff>0</xdr:rowOff>
    </xdr:from>
    <xdr:to>
      <xdr:col>14</xdr:col>
      <xdr:colOff>91440</xdr:colOff>
      <xdr:row>37</xdr:row>
      <xdr:rowOff>160020</xdr:rowOff>
    </xdr:to>
    <xdr:sp macro="" textlink="">
      <xdr:nvSpPr>
        <xdr:cNvPr id="3" name="Rectangle 2">
          <a:extLst>
            <a:ext uri="{FF2B5EF4-FFF2-40B4-BE49-F238E27FC236}">
              <a16:creationId xmlns:a16="http://schemas.microsoft.com/office/drawing/2014/main" id="{A3E07195-74F1-74FE-4F3A-F8AEA3570968}"/>
            </a:ext>
          </a:extLst>
        </xdr:cNvPr>
        <xdr:cNvSpPr/>
      </xdr:nvSpPr>
      <xdr:spPr>
        <a:xfrm>
          <a:off x="4297680" y="0"/>
          <a:ext cx="4328160" cy="692658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IN ANALYSIS INSIGHTS</a:t>
          </a:r>
        </a:p>
        <a:p>
          <a:pPr algn="l"/>
          <a:r>
            <a:rPr lang="en-US" sz="1100" b="0" i="0" u="none" strike="noStrike">
              <a:solidFill>
                <a:schemeClr val="lt1"/>
              </a:solidFill>
              <a:effectLst/>
              <a:latin typeface="+mn-lt"/>
              <a:ea typeface="+mn-ea"/>
              <a:cs typeface="+mn-cs"/>
            </a:rPr>
            <a:t>1.Sales Trend</a:t>
          </a:r>
          <a:r>
            <a:rPr lang="en-US" sz="1100" b="0" i="0" u="none" strike="noStrike" baseline="0">
              <a:solidFill>
                <a:schemeClr val="lt1"/>
              </a:solidFill>
              <a:effectLst/>
              <a:latin typeface="+mn-lt"/>
              <a:ea typeface="+mn-ea"/>
              <a:cs typeface="+mn-cs"/>
            </a:rPr>
            <a:t> </a:t>
          </a:r>
          <a:r>
            <a:rPr lang="en-US" sz="1000" b="0" i="0" u="none" strike="noStrike" baseline="0">
              <a:solidFill>
                <a:schemeClr val="lt1"/>
              </a:solidFill>
              <a:effectLst/>
              <a:latin typeface="+mn-lt"/>
              <a:ea typeface="+mn-ea"/>
              <a:cs typeface="+mn-cs"/>
            </a:rPr>
            <a:t>Report</a:t>
          </a:r>
        </a:p>
        <a:p>
          <a:pPr algn="l"/>
          <a:r>
            <a:rPr lang="en-US" sz="1000" baseline="0"/>
            <a:t>key insight, February sales performance</a:t>
          </a:r>
        </a:p>
        <a:p>
          <a:pPr algn="l"/>
          <a:r>
            <a:rPr lang="en-US" sz="1000" b="1"/>
            <a:t>February recorded the lowest sales turnout.</a:t>
          </a:r>
          <a:r>
            <a:rPr lang="en-US" sz="1000"/>
            <a:t> To address this, it is recommended to </a:t>
          </a:r>
          <a:r>
            <a:rPr lang="en-US" sz="1000" b="1"/>
            <a:t>increase advertising efforts and introduce targeted promotional campaigns</a:t>
          </a:r>
          <a:r>
            <a:rPr lang="en-US" sz="1000"/>
            <a:t> during February in order to improve brand visibility and stimulate sales performance.</a:t>
          </a:r>
        </a:p>
        <a:p>
          <a:pPr algn="l"/>
          <a:endParaRPr lang="en-US" sz="1000" baseline="0"/>
        </a:p>
        <a:p>
          <a:pPr algn="l"/>
          <a:r>
            <a:rPr lang="en-US" sz="1000" baseline="0"/>
            <a:t>2.Top 10 customer-key insight</a:t>
          </a:r>
        </a:p>
        <a:p>
          <a:pPr algn="l"/>
          <a:r>
            <a:rPr lang="en-US" sz="1000" baseline="0"/>
            <a:t>Company  D among the top 10 customers turnedout to be the highest revenue contributor having generated revenue </a:t>
          </a:r>
          <a:r>
            <a:rPr lang="en-US" sz="1100" b="0" i="0" baseline="0">
              <a:solidFill>
                <a:schemeClr val="lt1"/>
              </a:solidFill>
              <a:effectLst/>
              <a:latin typeface="+mn-lt"/>
              <a:ea typeface="+mn-ea"/>
              <a:cs typeface="+mn-cs"/>
            </a:rPr>
            <a:t>of $67,180.50 while company C recorded the lowest revenue within  the top 10 category with revenue of  $21,937.08</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3. Sales  By Rep</a:t>
          </a:r>
        </a:p>
        <a:p>
          <a:pPr algn="l"/>
          <a:r>
            <a:rPr lang="en-US" sz="1100" b="0" i="0" baseline="0">
              <a:solidFill>
                <a:schemeClr val="lt1"/>
              </a:solidFill>
              <a:effectLst/>
              <a:latin typeface="+mn-lt"/>
              <a:ea typeface="+mn-ea"/>
              <a:cs typeface="+mn-cs"/>
            </a:rPr>
            <a:t>Since Jan Kotas generated the least revenue, it is recommended that he should be moved to Nancy Freehafer location so he could learn effectively  with Nancy</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4. Sales By Region</a:t>
          </a:r>
        </a:p>
        <a:p>
          <a:pPr algn="l"/>
          <a:r>
            <a:rPr lang="en-US" sz="1100" b="0" i="0" baseline="0">
              <a:solidFill>
                <a:schemeClr val="lt1"/>
              </a:solidFill>
              <a:effectLst/>
              <a:latin typeface="+mn-lt"/>
              <a:ea typeface="+mn-ea"/>
              <a:cs typeface="+mn-cs"/>
            </a:rPr>
            <a:t>Since West generated the least revenue of 20.97%,  it is recommended that the reps in the west region should take up some courses and there should be some rotation among the different regions</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5. Sales  By Product Category</a:t>
          </a:r>
        </a:p>
        <a:p>
          <a:pPr algn="l"/>
          <a:r>
            <a:rPr lang="en-US" sz="1100" b="0" i="0" baseline="0">
              <a:solidFill>
                <a:schemeClr val="lt1"/>
              </a:solidFill>
              <a:effectLst/>
              <a:latin typeface="+mn-lt"/>
              <a:ea typeface="+mn-ea"/>
              <a:cs typeface="+mn-cs"/>
            </a:rPr>
            <a:t>With fruits and nuts being the least revenue generation, there should be  a review pricing strategy , there should be  increased visibiility through  targeted promotions</a:t>
          </a:r>
        </a:p>
        <a:p>
          <a:pPr algn="l"/>
          <a:endParaRPr lang="en-US" sz="1100" b="0" i="0" baseline="0">
            <a:solidFill>
              <a:schemeClr val="lt1"/>
            </a:solidFill>
            <a:effectLst/>
            <a:latin typeface="+mn-lt"/>
            <a:ea typeface="+mn-ea"/>
            <a:cs typeface="+mn-cs"/>
          </a:endParaRPr>
        </a:p>
        <a:p>
          <a:pPr eaLnBrk="1" fontAlgn="auto" latinLnBrk="0" hangingPunct="1"/>
          <a:r>
            <a:rPr lang="en-US" sz="1100" b="0" i="0" baseline="0">
              <a:solidFill>
                <a:schemeClr val="lt1"/>
              </a:solidFill>
              <a:effectLst/>
              <a:latin typeface="+mn-lt"/>
              <a:ea typeface="+mn-ea"/>
              <a:cs typeface="+mn-cs"/>
            </a:rPr>
            <a:t>6. Top 5 Cities</a:t>
          </a:r>
        </a:p>
        <a:p>
          <a:pPr eaLnBrk="1" fontAlgn="auto" latinLnBrk="0" hangingPunct="1"/>
          <a:r>
            <a:rPr lang="en-US" sz="1100" b="0" i="0" baseline="0">
              <a:solidFill>
                <a:schemeClr val="lt1"/>
              </a:solidFill>
              <a:effectLst/>
              <a:latin typeface="+mn-lt"/>
              <a:ea typeface="+mn-ea"/>
              <a:cs typeface="+mn-cs"/>
            </a:rPr>
            <a:t>chicago recorded the least revenue with newyork being the highest, to address the low sales in chicago, replicate successful strategies from top cities in low performing  locations</a:t>
          </a:r>
        </a:p>
        <a:p>
          <a:pPr eaLnBrk="1" fontAlgn="auto" latinLnBrk="0" hangingPunct="1"/>
          <a:endParaRPr lang="en-US" sz="1000">
            <a:effectLst/>
          </a:endParaRPr>
        </a:p>
        <a:p>
          <a:pPr eaLnBrk="1" fontAlgn="auto" latinLnBrk="0" hangingPunct="1"/>
          <a:r>
            <a:rPr lang="en-US" sz="1100" b="0" i="0" baseline="0">
              <a:solidFill>
                <a:schemeClr val="lt1"/>
              </a:solidFill>
              <a:effectLst/>
              <a:latin typeface="+mn-lt"/>
              <a:ea typeface="+mn-ea"/>
              <a:cs typeface="+mn-cs"/>
            </a:rPr>
            <a:t>7. Top 6 Ship Cities</a:t>
          </a:r>
        </a:p>
        <a:p>
          <a:pPr eaLnBrk="1" fontAlgn="auto" latinLnBrk="0" hangingPunct="1"/>
          <a:r>
            <a:rPr lang="en-US" sz="1100" b="0" i="0" baseline="0">
              <a:solidFill>
                <a:schemeClr val="lt1"/>
              </a:solidFill>
              <a:effectLst/>
              <a:latin typeface="+mn-lt"/>
              <a:ea typeface="+mn-ea"/>
              <a:cs typeface="+mn-cs"/>
            </a:rPr>
            <a:t>prioritize investment in the top 6 ship cities to protect  and grow core revenue</a:t>
          </a:r>
        </a:p>
        <a:p>
          <a:pPr eaLnBrk="1" fontAlgn="auto" latinLnBrk="0" hangingPunct="1"/>
          <a:endParaRPr lang="en-US" sz="1000">
            <a:effectLst/>
          </a:endParaRPr>
        </a:p>
        <a:p>
          <a:pPr eaLnBrk="1" fontAlgn="auto" latinLnBrk="0" hangingPunct="1"/>
          <a:r>
            <a:rPr lang="en-US" sz="1100" b="0" i="0" baseline="0">
              <a:solidFill>
                <a:schemeClr val="lt1"/>
              </a:solidFill>
              <a:effectLst/>
              <a:latin typeface="+mn-lt"/>
              <a:ea typeface="+mn-ea"/>
              <a:cs typeface="+mn-cs"/>
            </a:rPr>
            <a:t>8. State Performance By Revenue</a:t>
          </a:r>
          <a:endParaRPr lang="en-US" sz="1000">
            <a:effectLst/>
          </a:endParaRPr>
        </a:p>
        <a:p>
          <a:pPr algn="l"/>
          <a:endParaRPr lang="en-US" sz="1000" baseline="0"/>
        </a:p>
        <a:p>
          <a:pPr algn="l"/>
          <a:r>
            <a:rPr lang="en-US" sz="1600" baseline="0"/>
            <a:t>  </a:t>
          </a:r>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31752</xdr:rowOff>
    </xdr:from>
    <xdr:to>
      <xdr:col>29</xdr:col>
      <xdr:colOff>129540</xdr:colOff>
      <xdr:row>44</xdr:row>
      <xdr:rowOff>158750</xdr:rowOff>
    </xdr:to>
    <xdr:sp macro="" textlink="">
      <xdr:nvSpPr>
        <xdr:cNvPr id="4" name="Rectangle 3">
          <a:extLst>
            <a:ext uri="{FF2B5EF4-FFF2-40B4-BE49-F238E27FC236}">
              <a16:creationId xmlns:a16="http://schemas.microsoft.com/office/drawing/2014/main" id="{21DF712D-4F99-89FF-0492-D852388EB935}"/>
            </a:ext>
          </a:extLst>
        </xdr:cNvPr>
        <xdr:cNvSpPr/>
      </xdr:nvSpPr>
      <xdr:spPr>
        <a:xfrm>
          <a:off x="0" y="31752"/>
          <a:ext cx="17930707" cy="804333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76200</xdr:colOff>
      <xdr:row>0</xdr:row>
      <xdr:rowOff>83820</xdr:rowOff>
    </xdr:from>
    <xdr:to>
      <xdr:col>1</xdr:col>
      <xdr:colOff>525780</xdr:colOff>
      <xdr:row>44</xdr:row>
      <xdr:rowOff>107460</xdr:rowOff>
    </xdr:to>
    <xdr:sp macro="" textlink="">
      <xdr:nvSpPr>
        <xdr:cNvPr id="5" name="Rectangle: Rounded Corners 4">
          <a:extLst>
            <a:ext uri="{FF2B5EF4-FFF2-40B4-BE49-F238E27FC236}">
              <a16:creationId xmlns:a16="http://schemas.microsoft.com/office/drawing/2014/main" id="{3DE518F7-C2AB-0DAD-18BE-9CC3A040F6D9}"/>
            </a:ext>
          </a:extLst>
        </xdr:cNvPr>
        <xdr:cNvSpPr/>
      </xdr:nvSpPr>
      <xdr:spPr>
        <a:xfrm>
          <a:off x="76200" y="83820"/>
          <a:ext cx="1055272" cy="819071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9769</xdr:colOff>
      <xdr:row>4</xdr:row>
      <xdr:rowOff>58615</xdr:rowOff>
    </xdr:from>
    <xdr:to>
      <xdr:col>5</xdr:col>
      <xdr:colOff>298352</xdr:colOff>
      <xdr:row>10</xdr:row>
      <xdr:rowOff>130516</xdr:rowOff>
    </xdr:to>
    <xdr:sp macro="" textlink="">
      <xdr:nvSpPr>
        <xdr:cNvPr id="6" name="Rectangle: Rounded Corners 5">
          <a:extLst>
            <a:ext uri="{FF2B5EF4-FFF2-40B4-BE49-F238E27FC236}">
              <a16:creationId xmlns:a16="http://schemas.microsoft.com/office/drawing/2014/main" id="{C7A5685A-4444-8729-C1FB-04BCFFAD2291}"/>
            </a:ext>
          </a:extLst>
        </xdr:cNvPr>
        <xdr:cNvSpPr/>
      </xdr:nvSpPr>
      <xdr:spPr>
        <a:xfrm>
          <a:off x="1221154" y="801077"/>
          <a:ext cx="2105660" cy="11855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395264</xdr:colOff>
      <xdr:row>4</xdr:row>
      <xdr:rowOff>39076</xdr:rowOff>
    </xdr:from>
    <xdr:to>
      <xdr:col>9</xdr:col>
      <xdr:colOff>159044</xdr:colOff>
      <xdr:row>10</xdr:row>
      <xdr:rowOff>79521</xdr:rowOff>
    </xdr:to>
    <xdr:sp macro="" textlink="">
      <xdr:nvSpPr>
        <xdr:cNvPr id="7" name="Rectangle: Rounded Corners 6">
          <a:extLst>
            <a:ext uri="{FF2B5EF4-FFF2-40B4-BE49-F238E27FC236}">
              <a16:creationId xmlns:a16="http://schemas.microsoft.com/office/drawing/2014/main" id="{D19F9D5B-034F-D462-DB8E-8EEFC1F6BAB8}"/>
            </a:ext>
          </a:extLst>
        </xdr:cNvPr>
        <xdr:cNvSpPr/>
      </xdr:nvSpPr>
      <xdr:spPr>
        <a:xfrm>
          <a:off x="3423726" y="781538"/>
          <a:ext cx="2186549" cy="11541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265723</xdr:colOff>
      <xdr:row>4</xdr:row>
      <xdr:rowOff>29307</xdr:rowOff>
    </xdr:from>
    <xdr:to>
      <xdr:col>13</xdr:col>
      <xdr:colOff>29503</xdr:colOff>
      <xdr:row>10</xdr:row>
      <xdr:rowOff>28526</xdr:rowOff>
    </xdr:to>
    <xdr:sp macro="" textlink="">
      <xdr:nvSpPr>
        <xdr:cNvPr id="8" name="Rectangle: Rounded Corners 7">
          <a:extLst>
            <a:ext uri="{FF2B5EF4-FFF2-40B4-BE49-F238E27FC236}">
              <a16:creationId xmlns:a16="http://schemas.microsoft.com/office/drawing/2014/main" id="{06E53E78-4C49-06C3-D867-838BA195CDE2}"/>
            </a:ext>
          </a:extLst>
        </xdr:cNvPr>
        <xdr:cNvSpPr/>
      </xdr:nvSpPr>
      <xdr:spPr>
        <a:xfrm>
          <a:off x="5716954" y="771769"/>
          <a:ext cx="2186549" cy="111291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126414</xdr:colOff>
      <xdr:row>4</xdr:row>
      <xdr:rowOff>29307</xdr:rowOff>
    </xdr:from>
    <xdr:to>
      <xdr:col>16</xdr:col>
      <xdr:colOff>499794</xdr:colOff>
      <xdr:row>10</xdr:row>
      <xdr:rowOff>45915</xdr:rowOff>
    </xdr:to>
    <xdr:sp macro="" textlink="">
      <xdr:nvSpPr>
        <xdr:cNvPr id="9" name="Rectangle: Rounded Corners 8">
          <a:extLst>
            <a:ext uri="{FF2B5EF4-FFF2-40B4-BE49-F238E27FC236}">
              <a16:creationId xmlns:a16="http://schemas.microsoft.com/office/drawing/2014/main" id="{240BDA28-9716-D15B-5957-C1F5CFAEBDDB}"/>
            </a:ext>
          </a:extLst>
        </xdr:cNvPr>
        <xdr:cNvSpPr/>
      </xdr:nvSpPr>
      <xdr:spPr>
        <a:xfrm>
          <a:off x="8000414" y="771769"/>
          <a:ext cx="2190457" cy="1130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592797</xdr:colOff>
      <xdr:row>4</xdr:row>
      <xdr:rowOff>9769</xdr:rowOff>
    </xdr:from>
    <xdr:to>
      <xdr:col>20</xdr:col>
      <xdr:colOff>360485</xdr:colOff>
      <xdr:row>10</xdr:row>
      <xdr:rowOff>24228</xdr:rowOff>
    </xdr:to>
    <xdr:sp macro="" textlink="">
      <xdr:nvSpPr>
        <xdr:cNvPr id="10" name="Rectangle: Rounded Corners 9">
          <a:extLst>
            <a:ext uri="{FF2B5EF4-FFF2-40B4-BE49-F238E27FC236}">
              <a16:creationId xmlns:a16="http://schemas.microsoft.com/office/drawing/2014/main" id="{AAFF9C5F-98EE-75D9-CAFD-9C638FD3C414}"/>
            </a:ext>
          </a:extLst>
        </xdr:cNvPr>
        <xdr:cNvSpPr/>
      </xdr:nvSpPr>
      <xdr:spPr>
        <a:xfrm>
          <a:off x="10283874" y="752231"/>
          <a:ext cx="2190457" cy="112815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26182</xdr:colOff>
      <xdr:row>0</xdr:row>
      <xdr:rowOff>174087</xdr:rowOff>
    </xdr:from>
    <xdr:to>
      <xdr:col>15</xdr:col>
      <xdr:colOff>459154</xdr:colOff>
      <xdr:row>2</xdr:row>
      <xdr:rowOff>136769</xdr:rowOff>
    </xdr:to>
    <xdr:sp macro="" textlink="">
      <xdr:nvSpPr>
        <xdr:cNvPr id="12" name="Rectangle: Rounded Corners 11">
          <a:extLst>
            <a:ext uri="{FF2B5EF4-FFF2-40B4-BE49-F238E27FC236}">
              <a16:creationId xmlns:a16="http://schemas.microsoft.com/office/drawing/2014/main" id="{A37CED94-1353-04AC-FAC7-AB3D57A6B4F7}"/>
            </a:ext>
          </a:extLst>
        </xdr:cNvPr>
        <xdr:cNvSpPr/>
      </xdr:nvSpPr>
      <xdr:spPr>
        <a:xfrm>
          <a:off x="1237567" y="174087"/>
          <a:ext cx="8306972" cy="3339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371232</xdr:colOff>
      <xdr:row>4</xdr:row>
      <xdr:rowOff>166076</xdr:rowOff>
    </xdr:from>
    <xdr:to>
      <xdr:col>28</xdr:col>
      <xdr:colOff>580097</xdr:colOff>
      <xdr:row>6</xdr:row>
      <xdr:rowOff>63500</xdr:rowOff>
    </xdr:to>
    <xdr:sp macro="" textlink="">
      <xdr:nvSpPr>
        <xdr:cNvPr id="14" name="Rectangle: Rounded Corners 13">
          <a:extLst>
            <a:ext uri="{FF2B5EF4-FFF2-40B4-BE49-F238E27FC236}">
              <a16:creationId xmlns:a16="http://schemas.microsoft.com/office/drawing/2014/main" id="{7062397F-978A-D261-F864-7900B966359D}"/>
            </a:ext>
          </a:extLst>
        </xdr:cNvPr>
        <xdr:cNvSpPr/>
      </xdr:nvSpPr>
      <xdr:spPr>
        <a:xfrm>
          <a:off x="16330899" y="885743"/>
          <a:ext cx="1436531" cy="2572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400538</xdr:colOff>
      <xdr:row>8</xdr:row>
      <xdr:rowOff>158750</xdr:rowOff>
    </xdr:from>
    <xdr:to>
      <xdr:col>28</xdr:col>
      <xdr:colOff>566030</xdr:colOff>
      <xdr:row>10</xdr:row>
      <xdr:rowOff>24425</xdr:rowOff>
    </xdr:to>
    <xdr:sp macro="" textlink="">
      <xdr:nvSpPr>
        <xdr:cNvPr id="17" name="Rectangle: Rounded Corners 16">
          <a:extLst>
            <a:ext uri="{FF2B5EF4-FFF2-40B4-BE49-F238E27FC236}">
              <a16:creationId xmlns:a16="http://schemas.microsoft.com/office/drawing/2014/main" id="{2BE1D5A8-BA76-FB07-47ED-C5E53559AFDA}"/>
            </a:ext>
          </a:extLst>
        </xdr:cNvPr>
        <xdr:cNvSpPr/>
      </xdr:nvSpPr>
      <xdr:spPr>
        <a:xfrm>
          <a:off x="16360205" y="1598083"/>
          <a:ext cx="1393158" cy="2255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9768</xdr:colOff>
      <xdr:row>11</xdr:row>
      <xdr:rowOff>19539</xdr:rowOff>
    </xdr:from>
    <xdr:to>
      <xdr:col>8</xdr:col>
      <xdr:colOff>244230</xdr:colOff>
      <xdr:row>19</xdr:row>
      <xdr:rowOff>67994</xdr:rowOff>
    </xdr:to>
    <xdr:sp macro="" textlink="">
      <xdr:nvSpPr>
        <xdr:cNvPr id="18" name="Rectangle: Rounded Corners 17">
          <a:extLst>
            <a:ext uri="{FF2B5EF4-FFF2-40B4-BE49-F238E27FC236}">
              <a16:creationId xmlns:a16="http://schemas.microsoft.com/office/drawing/2014/main" id="{298E37C3-4119-C598-1AAD-A7E4C26DDC53}"/>
            </a:ext>
          </a:extLst>
        </xdr:cNvPr>
        <xdr:cNvSpPr/>
      </xdr:nvSpPr>
      <xdr:spPr>
        <a:xfrm>
          <a:off x="1221153" y="2061308"/>
          <a:ext cx="3868615" cy="15333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351692</xdr:colOff>
      <xdr:row>10</xdr:row>
      <xdr:rowOff>175846</xdr:rowOff>
    </xdr:from>
    <xdr:to>
      <xdr:col>14</xdr:col>
      <xdr:colOff>586153</xdr:colOff>
      <xdr:row>19</xdr:row>
      <xdr:rowOff>54318</xdr:rowOff>
    </xdr:to>
    <xdr:sp macro="" textlink="">
      <xdr:nvSpPr>
        <xdr:cNvPr id="19" name="Rectangle: Rounded Corners 18">
          <a:extLst>
            <a:ext uri="{FF2B5EF4-FFF2-40B4-BE49-F238E27FC236}">
              <a16:creationId xmlns:a16="http://schemas.microsoft.com/office/drawing/2014/main" id="{6EB7C254-377E-7A24-9A6F-5D32B8903444}"/>
            </a:ext>
          </a:extLst>
        </xdr:cNvPr>
        <xdr:cNvSpPr/>
      </xdr:nvSpPr>
      <xdr:spPr>
        <a:xfrm>
          <a:off x="5197230" y="2032000"/>
          <a:ext cx="3868615" cy="154901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87923</xdr:colOff>
      <xdr:row>10</xdr:row>
      <xdr:rowOff>146538</xdr:rowOff>
    </xdr:from>
    <xdr:to>
      <xdr:col>29</xdr:col>
      <xdr:colOff>48845</xdr:colOff>
      <xdr:row>19</xdr:row>
      <xdr:rowOff>40641</xdr:rowOff>
    </xdr:to>
    <xdr:sp macro="" textlink="">
      <xdr:nvSpPr>
        <xdr:cNvPr id="20" name="Rectangle: Rounded Corners 19">
          <a:extLst>
            <a:ext uri="{FF2B5EF4-FFF2-40B4-BE49-F238E27FC236}">
              <a16:creationId xmlns:a16="http://schemas.microsoft.com/office/drawing/2014/main" id="{DACEB117-3CC1-46C9-6CCB-269DCD2612FA}"/>
            </a:ext>
          </a:extLst>
        </xdr:cNvPr>
        <xdr:cNvSpPr/>
      </xdr:nvSpPr>
      <xdr:spPr>
        <a:xfrm>
          <a:off x="9173308" y="2002692"/>
          <a:ext cx="8440614" cy="15646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20</xdr:row>
      <xdr:rowOff>58614</xdr:rowOff>
    </xdr:from>
    <xdr:to>
      <xdr:col>12</xdr:col>
      <xdr:colOff>175845</xdr:colOff>
      <xdr:row>30</xdr:row>
      <xdr:rowOff>-1</xdr:rowOff>
    </xdr:to>
    <xdr:sp macro="" textlink="">
      <xdr:nvSpPr>
        <xdr:cNvPr id="21" name="Rectangle: Rounded Corners 20">
          <a:extLst>
            <a:ext uri="{FF2B5EF4-FFF2-40B4-BE49-F238E27FC236}">
              <a16:creationId xmlns:a16="http://schemas.microsoft.com/office/drawing/2014/main" id="{92FEA381-C029-0FE9-94F6-0978B4912971}"/>
            </a:ext>
          </a:extLst>
        </xdr:cNvPr>
        <xdr:cNvSpPr/>
      </xdr:nvSpPr>
      <xdr:spPr>
        <a:xfrm>
          <a:off x="1211385" y="3770922"/>
          <a:ext cx="6232768" cy="17975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224692</xdr:colOff>
      <xdr:row>20</xdr:row>
      <xdr:rowOff>68384</xdr:rowOff>
    </xdr:from>
    <xdr:to>
      <xdr:col>19</xdr:col>
      <xdr:colOff>527537</xdr:colOff>
      <xdr:row>29</xdr:row>
      <xdr:rowOff>134425</xdr:rowOff>
    </xdr:to>
    <xdr:sp macro="" textlink="">
      <xdr:nvSpPr>
        <xdr:cNvPr id="22" name="Rectangle: Rounded Corners 21">
          <a:extLst>
            <a:ext uri="{FF2B5EF4-FFF2-40B4-BE49-F238E27FC236}">
              <a16:creationId xmlns:a16="http://schemas.microsoft.com/office/drawing/2014/main" id="{EE2B7241-2C9E-F202-6DF4-6D00EA5DF924}"/>
            </a:ext>
          </a:extLst>
        </xdr:cNvPr>
        <xdr:cNvSpPr/>
      </xdr:nvSpPr>
      <xdr:spPr>
        <a:xfrm>
          <a:off x="7493000" y="3780692"/>
          <a:ext cx="4542691" cy="17365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595923</xdr:colOff>
      <xdr:row>20</xdr:row>
      <xdr:rowOff>97692</xdr:rowOff>
    </xdr:from>
    <xdr:to>
      <xdr:col>29</xdr:col>
      <xdr:colOff>48846</xdr:colOff>
      <xdr:row>29</xdr:row>
      <xdr:rowOff>140288</xdr:rowOff>
    </xdr:to>
    <xdr:sp macro="" textlink="">
      <xdr:nvSpPr>
        <xdr:cNvPr id="23" name="Rectangle: Rounded Corners 22">
          <a:extLst>
            <a:ext uri="{FF2B5EF4-FFF2-40B4-BE49-F238E27FC236}">
              <a16:creationId xmlns:a16="http://schemas.microsoft.com/office/drawing/2014/main" id="{61121CB6-DD7B-7161-1236-A96185BEB2D9}"/>
            </a:ext>
          </a:extLst>
        </xdr:cNvPr>
        <xdr:cNvSpPr/>
      </xdr:nvSpPr>
      <xdr:spPr>
        <a:xfrm>
          <a:off x="12104077" y="3810000"/>
          <a:ext cx="5509846" cy="17131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400539</xdr:colOff>
      <xdr:row>30</xdr:row>
      <xdr:rowOff>127000</xdr:rowOff>
    </xdr:from>
    <xdr:to>
      <xdr:col>29</xdr:col>
      <xdr:colOff>68385</xdr:colOff>
      <xdr:row>39</xdr:row>
      <xdr:rowOff>175458</xdr:rowOff>
    </xdr:to>
    <xdr:sp macro="" textlink="">
      <xdr:nvSpPr>
        <xdr:cNvPr id="24" name="Rectangle: Rounded Corners 23">
          <a:extLst>
            <a:ext uri="{FF2B5EF4-FFF2-40B4-BE49-F238E27FC236}">
              <a16:creationId xmlns:a16="http://schemas.microsoft.com/office/drawing/2014/main" id="{17BEB484-83EE-B7A2-A5CE-40719909D3FA}"/>
            </a:ext>
          </a:extLst>
        </xdr:cNvPr>
        <xdr:cNvSpPr/>
      </xdr:nvSpPr>
      <xdr:spPr>
        <a:xfrm>
          <a:off x="10091616" y="5695462"/>
          <a:ext cx="7541846" cy="17189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576385</xdr:colOff>
      <xdr:row>30</xdr:row>
      <xdr:rowOff>136769</xdr:rowOff>
    </xdr:from>
    <xdr:to>
      <xdr:col>16</xdr:col>
      <xdr:colOff>332154</xdr:colOff>
      <xdr:row>40</xdr:row>
      <xdr:rowOff>15244</xdr:rowOff>
    </xdr:to>
    <xdr:sp macro="" textlink="">
      <xdr:nvSpPr>
        <xdr:cNvPr id="25" name="Rectangle: Rounded Corners 24">
          <a:extLst>
            <a:ext uri="{FF2B5EF4-FFF2-40B4-BE49-F238E27FC236}">
              <a16:creationId xmlns:a16="http://schemas.microsoft.com/office/drawing/2014/main" id="{DC013BCD-FF8F-762E-E945-4FDDD887E5A1}"/>
            </a:ext>
          </a:extLst>
        </xdr:cNvPr>
        <xdr:cNvSpPr/>
      </xdr:nvSpPr>
      <xdr:spPr>
        <a:xfrm>
          <a:off x="1182077" y="5705231"/>
          <a:ext cx="8841154" cy="173462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533402</xdr:colOff>
      <xdr:row>4</xdr:row>
      <xdr:rowOff>171938</xdr:rowOff>
    </xdr:from>
    <xdr:to>
      <xdr:col>26</xdr:col>
      <xdr:colOff>136575</xdr:colOff>
      <xdr:row>6</xdr:row>
      <xdr:rowOff>52917</xdr:rowOff>
    </xdr:to>
    <xdr:sp macro="" textlink="">
      <xdr:nvSpPr>
        <xdr:cNvPr id="26" name="Rectangle: Rounded Corners 25">
          <a:extLst>
            <a:ext uri="{FF2B5EF4-FFF2-40B4-BE49-F238E27FC236}">
              <a16:creationId xmlns:a16="http://schemas.microsoft.com/office/drawing/2014/main" id="{4A0C434C-C9A5-D6F5-C7C3-3BFB470BFB3C}"/>
            </a:ext>
          </a:extLst>
        </xdr:cNvPr>
        <xdr:cNvSpPr/>
      </xdr:nvSpPr>
      <xdr:spPr>
        <a:xfrm>
          <a:off x="14651569" y="891605"/>
          <a:ext cx="1444673" cy="24081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89880</xdr:colOff>
      <xdr:row>4</xdr:row>
      <xdr:rowOff>177800</xdr:rowOff>
    </xdr:from>
    <xdr:to>
      <xdr:col>23</xdr:col>
      <xdr:colOff>298745</xdr:colOff>
      <xdr:row>6</xdr:row>
      <xdr:rowOff>52917</xdr:rowOff>
    </xdr:to>
    <xdr:sp macro="" textlink="">
      <xdr:nvSpPr>
        <xdr:cNvPr id="27" name="Rectangle: Rounded Corners 26">
          <a:extLst>
            <a:ext uri="{FF2B5EF4-FFF2-40B4-BE49-F238E27FC236}">
              <a16:creationId xmlns:a16="http://schemas.microsoft.com/office/drawing/2014/main" id="{1D670075-B365-BE91-9F08-DDBFC1C1D292}"/>
            </a:ext>
          </a:extLst>
        </xdr:cNvPr>
        <xdr:cNvSpPr/>
      </xdr:nvSpPr>
      <xdr:spPr>
        <a:xfrm>
          <a:off x="12980380" y="897467"/>
          <a:ext cx="1436532" cy="234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504092</xdr:colOff>
      <xdr:row>8</xdr:row>
      <xdr:rowOff>158750</xdr:rowOff>
    </xdr:from>
    <xdr:to>
      <xdr:col>26</xdr:col>
      <xdr:colOff>63892</xdr:colOff>
      <xdr:row>10</xdr:row>
      <xdr:rowOff>40055</xdr:rowOff>
    </xdr:to>
    <xdr:sp macro="" textlink="">
      <xdr:nvSpPr>
        <xdr:cNvPr id="28" name="Rectangle: Rounded Corners 27">
          <a:extLst>
            <a:ext uri="{FF2B5EF4-FFF2-40B4-BE49-F238E27FC236}">
              <a16:creationId xmlns:a16="http://schemas.microsoft.com/office/drawing/2014/main" id="{6E92193C-FFF6-2905-C6EC-5FE0A3926DD6}"/>
            </a:ext>
          </a:extLst>
        </xdr:cNvPr>
        <xdr:cNvSpPr/>
      </xdr:nvSpPr>
      <xdr:spPr>
        <a:xfrm>
          <a:off x="14622259" y="1598083"/>
          <a:ext cx="1401300" cy="2411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89877</xdr:colOff>
      <xdr:row>8</xdr:row>
      <xdr:rowOff>148168</xdr:rowOff>
    </xdr:from>
    <xdr:to>
      <xdr:col>23</xdr:col>
      <xdr:colOff>255369</xdr:colOff>
      <xdr:row>10</xdr:row>
      <xdr:rowOff>16610</xdr:rowOff>
    </xdr:to>
    <xdr:sp macro="" textlink="">
      <xdr:nvSpPr>
        <xdr:cNvPr id="29" name="Rectangle: Rounded Corners 28">
          <a:extLst>
            <a:ext uri="{FF2B5EF4-FFF2-40B4-BE49-F238E27FC236}">
              <a16:creationId xmlns:a16="http://schemas.microsoft.com/office/drawing/2014/main" id="{F9D75256-A5E6-6E49-6735-4769D704B8D4}"/>
            </a:ext>
          </a:extLst>
        </xdr:cNvPr>
        <xdr:cNvSpPr/>
      </xdr:nvSpPr>
      <xdr:spPr>
        <a:xfrm>
          <a:off x="12980377" y="1587501"/>
          <a:ext cx="1393159" cy="2282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9</xdr:row>
      <xdr:rowOff>179070</xdr:rowOff>
    </xdr:from>
    <xdr:to>
      <xdr:col>10</xdr:col>
      <xdr:colOff>441960</xdr:colOff>
      <xdr:row>24</xdr:row>
      <xdr:rowOff>179070</xdr:rowOff>
    </xdr:to>
    <xdr:graphicFrame macro="">
      <xdr:nvGraphicFramePr>
        <xdr:cNvPr id="2" name="Chart 1">
          <a:extLst>
            <a:ext uri="{FF2B5EF4-FFF2-40B4-BE49-F238E27FC236}">
              <a16:creationId xmlns:a16="http://schemas.microsoft.com/office/drawing/2014/main" id="{119A55D7-4DCE-C880-8E27-2668C0D13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121920</xdr:colOff>
      <xdr:row>4</xdr:row>
      <xdr:rowOff>106680</xdr:rowOff>
    </xdr:from>
    <xdr:to>
      <xdr:col>9</xdr:col>
      <xdr:colOff>459441</xdr:colOff>
      <xdr:row>27</xdr:row>
      <xdr:rowOff>169333</xdr:rowOff>
    </xdr:to>
    <xdr:sp macro="" textlink="">
      <xdr:nvSpPr>
        <xdr:cNvPr id="5" name="Rectangle 4">
          <a:extLst>
            <a:ext uri="{FF2B5EF4-FFF2-40B4-BE49-F238E27FC236}">
              <a16:creationId xmlns:a16="http://schemas.microsoft.com/office/drawing/2014/main" id="{AAA4DB22-673F-B3EF-697D-7C07FB51BE02}"/>
            </a:ext>
          </a:extLst>
        </xdr:cNvPr>
        <xdr:cNvSpPr/>
      </xdr:nvSpPr>
      <xdr:spPr>
        <a:xfrm>
          <a:off x="121920" y="823856"/>
          <a:ext cx="5783580" cy="4186418"/>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DATA SPLITTING</a:t>
          </a:r>
        </a:p>
        <a:p>
          <a:pPr algn="l"/>
          <a:endParaRPr lang="en-US" sz="1100" baseline="0"/>
        </a:p>
        <a:p>
          <a:pPr algn="l"/>
          <a:r>
            <a:rPr lang="en-US" sz="1400" b="1" baseline="0"/>
            <a:t>INDEPENDENT VALUES</a:t>
          </a:r>
        </a:p>
        <a:p>
          <a:pPr algn="l"/>
          <a:r>
            <a:rPr lang="en-US" sz="1400" baseline="0"/>
            <a:t>SALESPERSON</a:t>
          </a:r>
        </a:p>
        <a:p>
          <a:pPr algn="l"/>
          <a:r>
            <a:rPr lang="en-US" sz="1400" baseline="0"/>
            <a:t>REGION</a:t>
          </a:r>
        </a:p>
        <a:p>
          <a:pPr algn="l"/>
          <a:r>
            <a:rPr lang="en-US" sz="1400" baseline="0"/>
            <a:t>COUNTRY/REGION</a:t>
          </a:r>
        </a:p>
        <a:p>
          <a:pPr algn="l"/>
          <a:r>
            <a:rPr lang="en-US" sz="1400" baseline="0"/>
            <a:t>CITY</a:t>
          </a:r>
        </a:p>
        <a:p>
          <a:pPr algn="l"/>
          <a:r>
            <a:rPr lang="en-US" sz="1400" baseline="0"/>
            <a:t>SHIP NAME</a:t>
          </a:r>
        </a:p>
        <a:p>
          <a:pPr algn="l"/>
          <a:r>
            <a:rPr lang="en-US" sz="1400" baseline="0"/>
            <a:t>SHIP CITY</a:t>
          </a:r>
        </a:p>
        <a:p>
          <a:pPr algn="l"/>
          <a:r>
            <a:rPr lang="en-US" sz="1400" baseline="0"/>
            <a:t>PAYMENT TYPE</a:t>
          </a:r>
        </a:p>
        <a:p>
          <a:pPr algn="l"/>
          <a:r>
            <a:rPr lang="en-US" sz="1400" baseline="0"/>
            <a:t>PRODUCT NAME</a:t>
          </a:r>
        </a:p>
        <a:p>
          <a:pPr algn="l"/>
          <a:r>
            <a:rPr lang="en-US" sz="1400" baseline="0"/>
            <a:t>CATEGORY</a:t>
          </a:r>
        </a:p>
        <a:p>
          <a:pPr algn="l"/>
          <a:r>
            <a:rPr lang="en-US" sz="1400" baseline="0"/>
            <a:t>SHIP ADDRESS</a:t>
          </a:r>
        </a:p>
        <a:p>
          <a:pPr algn="l"/>
          <a:endParaRPr lang="en-US" sz="1400" baseline="0"/>
        </a:p>
        <a:p>
          <a:pPr algn="l"/>
          <a:r>
            <a:rPr lang="en-US" sz="1400" b="1" baseline="0"/>
            <a:t>DEPENDENT VALUES</a:t>
          </a:r>
        </a:p>
        <a:p>
          <a:pPr algn="l"/>
          <a:r>
            <a:rPr lang="en-US" sz="1400" baseline="0"/>
            <a:t>REVENUE</a:t>
          </a:r>
        </a:p>
        <a:p>
          <a:pPr algn="l"/>
          <a:r>
            <a:rPr lang="en-US" sz="1400" baseline="0"/>
            <a:t>UNIT PRICE</a:t>
          </a:r>
        </a:p>
        <a:p>
          <a:pPr algn="l"/>
          <a:r>
            <a:rPr lang="en-US" sz="1400" baseline="0"/>
            <a:t>SHIPPING FEE</a:t>
          </a:r>
        </a:p>
        <a:p>
          <a:pPr algn="l"/>
          <a:r>
            <a:rPr lang="en-US" sz="1400" baseline="0"/>
            <a:t>QUANTITY</a:t>
          </a:r>
        </a:p>
        <a:p>
          <a:pPr algn="l"/>
          <a:endParaRPr lang="en-US" sz="1400" baseline="0"/>
        </a:p>
        <a:p>
          <a:pPr algn="l"/>
          <a:r>
            <a:rPr lang="en-US" sz="1400" baseline="0"/>
            <a:t>  </a:t>
          </a:r>
          <a:endParaRPr lang="en-US" sz="1400"/>
        </a:p>
      </xdr:txBody>
    </xdr:sp>
    <xdr:clientData/>
  </xdr:twoCellAnchor>
  <xdr:twoCellAnchor>
    <xdr:from>
      <xdr:col>10</xdr:col>
      <xdr:colOff>78442</xdr:colOff>
      <xdr:row>4</xdr:row>
      <xdr:rowOff>114299</xdr:rowOff>
    </xdr:from>
    <xdr:to>
      <xdr:col>24</xdr:col>
      <xdr:colOff>317500</xdr:colOff>
      <xdr:row>53</xdr:row>
      <xdr:rowOff>104588</xdr:rowOff>
    </xdr:to>
    <xdr:sp macro="" textlink="">
      <xdr:nvSpPr>
        <xdr:cNvPr id="6" name="Rectangle 5">
          <a:extLst>
            <a:ext uri="{FF2B5EF4-FFF2-40B4-BE49-F238E27FC236}">
              <a16:creationId xmlns:a16="http://schemas.microsoft.com/office/drawing/2014/main" id="{D75F8805-6116-7641-E150-441AFC954266}"/>
            </a:ext>
          </a:extLst>
        </xdr:cNvPr>
        <xdr:cNvSpPr/>
      </xdr:nvSpPr>
      <xdr:spPr>
        <a:xfrm>
          <a:off x="6204324" y="831475"/>
          <a:ext cx="8815294" cy="877570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POTENTIAL QUESTIONS/INSIGHTS</a:t>
          </a:r>
        </a:p>
        <a:p>
          <a:pPr algn="l"/>
          <a:r>
            <a:rPr lang="en-US" sz="1600" b="1" baseline="0"/>
            <a:t>Best performing customer by revenue</a:t>
          </a:r>
        </a:p>
        <a:p>
          <a:pPr algn="l"/>
          <a:r>
            <a:rPr lang="en-US" sz="1600" b="1" baseline="0"/>
            <a:t>Revenue generated by each salesperson, to spot the best performance for the year</a:t>
          </a:r>
        </a:p>
        <a:p>
          <a:pPr algn="l"/>
          <a:r>
            <a:rPr lang="en-US" sz="1600" b="1" baseline="0"/>
            <a:t>Best performing customer by the quantity purchased</a:t>
          </a:r>
        </a:p>
        <a:p>
          <a:pPr algn="l"/>
          <a:r>
            <a:rPr lang="en-US" sz="1600" b="1" baseline="0"/>
            <a:t>Region with the highest revenue</a:t>
          </a:r>
        </a:p>
        <a:p>
          <a:pPr algn="l"/>
          <a:r>
            <a:rPr lang="en-US" sz="1600" b="1" baseline="0"/>
            <a:t>Highest revenue by shipping country</a:t>
          </a:r>
        </a:p>
        <a:p>
          <a:pPr algn="l"/>
          <a:r>
            <a:rPr lang="en-US" sz="1600" b="1" baseline="0"/>
            <a:t>Country with the best shipping method</a:t>
          </a:r>
        </a:p>
        <a:p>
          <a:pPr algn="l"/>
          <a:r>
            <a:rPr lang="en-US" sz="1600" b="1" baseline="0"/>
            <a:t>Region with highest salesperson</a:t>
          </a:r>
        </a:p>
        <a:p>
          <a:pPr algn="l"/>
          <a:r>
            <a:rPr lang="en-US" sz="1600" b="1" baseline="0"/>
            <a:t>Products with the highest quantity</a:t>
          </a:r>
        </a:p>
        <a:p>
          <a:pPr algn="l"/>
          <a:r>
            <a:rPr lang="en-US" sz="1600" b="1" baseline="0"/>
            <a:t>Product category with highest sales</a:t>
          </a:r>
        </a:p>
        <a:p>
          <a:pPr algn="l"/>
          <a:r>
            <a:rPr lang="en-US" sz="1600" b="1" baseline="0"/>
            <a:t>Revenue generated by country</a:t>
          </a:r>
        </a:p>
        <a:p>
          <a:pPr algn="l"/>
          <a:r>
            <a:rPr lang="en-US" sz="1600" b="1" baseline="0"/>
            <a:t>Best profit generated by  salesperson</a:t>
          </a:r>
        </a:p>
        <a:p>
          <a:pPr algn="l"/>
          <a:r>
            <a:rPr lang="en-US" sz="1600" b="1" baseline="0"/>
            <a:t>Total revenue by City</a:t>
          </a:r>
        </a:p>
        <a:p>
          <a:pPr algn="l"/>
          <a:r>
            <a:rPr lang="en-US" sz="1600" b="1" baseline="0"/>
            <a:t>Product category that recorded  the highest number of units</a:t>
          </a:r>
        </a:p>
        <a:p>
          <a:pPr algn="l"/>
          <a:r>
            <a:rPr lang="en-US" sz="1600" b="1" baseline="0"/>
            <a:t>Total profit made across all sales transactions-this generated by substracting  unit costs from revenue</a:t>
          </a:r>
        </a:p>
        <a:p>
          <a:pPr algn="l"/>
          <a:endParaRPr lang="en-US" sz="1600" b="1" baseline="0"/>
        </a:p>
        <a:p>
          <a:pPr algn="l"/>
          <a:r>
            <a:rPr lang="en-US" sz="1600" b="1" baseline="0"/>
            <a:t>         TASKS CHECKS</a:t>
          </a:r>
          <a:endParaRPr lang="en-US" sz="1600">
            <a:effectLst/>
          </a:endParaRPr>
        </a:p>
        <a:p>
          <a:r>
            <a:rPr lang="en-US" sz="1600" b="1" baseline="0">
              <a:solidFill>
                <a:schemeClr val="lt1"/>
              </a:solidFill>
              <a:effectLst/>
              <a:latin typeface="+mn-lt"/>
              <a:ea typeface="+mn-ea"/>
              <a:cs typeface="+mn-cs"/>
            </a:rPr>
            <a:t>Best performing customer by revenue(CUSTOMER/REVENUE)</a:t>
          </a:r>
          <a:endParaRPr lang="en-US" sz="1600">
            <a:effectLst/>
          </a:endParaRPr>
        </a:p>
        <a:p>
          <a:r>
            <a:rPr lang="en-US" sz="1600" b="1" baseline="0">
              <a:solidFill>
                <a:schemeClr val="lt1"/>
              </a:solidFill>
              <a:effectLst/>
              <a:latin typeface="+mn-lt"/>
              <a:ea typeface="+mn-ea"/>
              <a:cs typeface="+mn-cs"/>
            </a:rPr>
            <a:t>Revenue generated by each salesperson, to spot the best performance for the year(REVENUE/SALESPERSON)</a:t>
          </a:r>
          <a:endParaRPr lang="en-US" sz="1600">
            <a:effectLst/>
          </a:endParaRPr>
        </a:p>
        <a:p>
          <a:r>
            <a:rPr lang="en-US" sz="1600" b="1" baseline="0">
              <a:solidFill>
                <a:schemeClr val="lt1"/>
              </a:solidFill>
              <a:effectLst/>
              <a:latin typeface="+mn-lt"/>
              <a:ea typeface="+mn-ea"/>
              <a:cs typeface="+mn-cs"/>
            </a:rPr>
            <a:t>Best performing customer by the quantity purchased(CUSTOMER/QUANTITY PURCHASED)</a:t>
          </a:r>
          <a:endParaRPr lang="en-US" sz="1600">
            <a:effectLst/>
          </a:endParaRPr>
        </a:p>
        <a:p>
          <a:r>
            <a:rPr lang="en-US" sz="1600" b="1" baseline="0">
              <a:solidFill>
                <a:schemeClr val="lt1"/>
              </a:solidFill>
              <a:effectLst/>
              <a:latin typeface="+mn-lt"/>
              <a:ea typeface="+mn-ea"/>
              <a:cs typeface="+mn-cs"/>
            </a:rPr>
            <a:t>Region with the highest revenue(REGION/REVENUE)</a:t>
          </a:r>
          <a:endParaRPr lang="en-US" sz="1600">
            <a:effectLst/>
          </a:endParaRPr>
        </a:p>
        <a:p>
          <a:r>
            <a:rPr lang="en-US" sz="1600" b="1" baseline="0">
              <a:solidFill>
                <a:schemeClr val="lt1"/>
              </a:solidFill>
              <a:effectLst/>
              <a:latin typeface="+mn-lt"/>
              <a:ea typeface="+mn-ea"/>
              <a:cs typeface="+mn-cs"/>
            </a:rPr>
            <a:t>Highest revenue by shipping country(REVENUE/SHIPPING COUNTRY)</a:t>
          </a:r>
          <a:endParaRPr lang="en-US" sz="1600">
            <a:effectLst/>
          </a:endParaRPr>
        </a:p>
        <a:p>
          <a:r>
            <a:rPr lang="en-US" sz="1600" b="1" baseline="0">
              <a:solidFill>
                <a:schemeClr val="lt1"/>
              </a:solidFill>
              <a:effectLst/>
              <a:latin typeface="+mn-lt"/>
              <a:ea typeface="+mn-ea"/>
              <a:cs typeface="+mn-cs"/>
            </a:rPr>
            <a:t>Country with the best shipping method(COUNTRY/SHIPPING METHOD)</a:t>
          </a:r>
          <a:endParaRPr lang="en-US" sz="1600">
            <a:effectLst/>
          </a:endParaRPr>
        </a:p>
        <a:p>
          <a:r>
            <a:rPr lang="en-US" sz="1600" b="1" baseline="0">
              <a:solidFill>
                <a:schemeClr val="lt1"/>
              </a:solidFill>
              <a:effectLst/>
              <a:latin typeface="+mn-lt"/>
              <a:ea typeface="+mn-ea"/>
              <a:cs typeface="+mn-cs"/>
            </a:rPr>
            <a:t>Region with highest salesperson(REGION/SALESPERSON)</a:t>
          </a:r>
          <a:endParaRPr lang="en-US" sz="1600">
            <a:effectLst/>
          </a:endParaRPr>
        </a:p>
        <a:p>
          <a:r>
            <a:rPr lang="en-US" sz="1600" b="1" baseline="0">
              <a:solidFill>
                <a:schemeClr val="lt1"/>
              </a:solidFill>
              <a:effectLst/>
              <a:latin typeface="+mn-lt"/>
              <a:ea typeface="+mn-ea"/>
              <a:cs typeface="+mn-cs"/>
            </a:rPr>
            <a:t>Products with the highest quantity(PRODUCT/QUANTITY)</a:t>
          </a:r>
          <a:endParaRPr lang="en-US" sz="1600">
            <a:effectLst/>
          </a:endParaRPr>
        </a:p>
        <a:p>
          <a:r>
            <a:rPr lang="en-US" sz="1600" b="1" baseline="0">
              <a:solidFill>
                <a:schemeClr val="lt1"/>
              </a:solidFill>
              <a:effectLst/>
              <a:latin typeface="+mn-lt"/>
              <a:ea typeface="+mn-ea"/>
              <a:cs typeface="+mn-cs"/>
            </a:rPr>
            <a:t>Product category with highest sales(PRODUCT/SALES)</a:t>
          </a:r>
          <a:endParaRPr lang="en-US" sz="1600">
            <a:effectLst/>
          </a:endParaRPr>
        </a:p>
        <a:p>
          <a:r>
            <a:rPr lang="en-US" sz="1600" b="1" baseline="0">
              <a:solidFill>
                <a:schemeClr val="lt1"/>
              </a:solidFill>
              <a:effectLst/>
              <a:latin typeface="+mn-lt"/>
              <a:ea typeface="+mn-ea"/>
              <a:cs typeface="+mn-cs"/>
            </a:rPr>
            <a:t>Revenue generated by country(REVENUE/COUNTRY)</a:t>
          </a:r>
          <a:endParaRPr lang="en-US" sz="1600">
            <a:effectLst/>
          </a:endParaRPr>
        </a:p>
        <a:p>
          <a:r>
            <a:rPr lang="en-US" sz="1600" b="1" baseline="0">
              <a:solidFill>
                <a:schemeClr val="lt1"/>
              </a:solidFill>
              <a:effectLst/>
              <a:latin typeface="+mn-lt"/>
              <a:ea typeface="+mn-ea"/>
              <a:cs typeface="+mn-cs"/>
            </a:rPr>
            <a:t>Best profit generated by  salesperson(PROFIT/SALESPERSON)</a:t>
          </a:r>
          <a:endParaRPr lang="en-US" sz="1600">
            <a:effectLst/>
          </a:endParaRPr>
        </a:p>
        <a:p>
          <a:r>
            <a:rPr lang="en-US" sz="1600" b="1" baseline="0">
              <a:solidFill>
                <a:schemeClr val="lt1"/>
              </a:solidFill>
              <a:effectLst/>
              <a:latin typeface="+mn-lt"/>
              <a:ea typeface="+mn-ea"/>
              <a:cs typeface="+mn-cs"/>
            </a:rPr>
            <a:t>Total revenue by City(REVENUE/CITY)</a:t>
          </a:r>
          <a:endParaRPr lang="en-US" sz="1600">
            <a:effectLst/>
          </a:endParaRPr>
        </a:p>
        <a:p>
          <a:r>
            <a:rPr lang="en-US" sz="1600" b="1" baseline="0">
              <a:solidFill>
                <a:schemeClr val="lt1"/>
              </a:solidFill>
              <a:effectLst/>
              <a:latin typeface="+mn-lt"/>
              <a:ea typeface="+mn-ea"/>
              <a:cs typeface="+mn-cs"/>
            </a:rPr>
            <a:t>Product category that recorded  the highest number of units</a:t>
          </a:r>
          <a:endParaRPr lang="en-US" sz="1600">
            <a:effectLst/>
          </a:endParaRPr>
        </a:p>
        <a:p>
          <a:r>
            <a:rPr lang="en-US" sz="1600" b="1" baseline="0">
              <a:solidFill>
                <a:schemeClr val="lt1"/>
              </a:solidFill>
              <a:effectLst/>
              <a:latin typeface="+mn-lt"/>
              <a:ea typeface="+mn-ea"/>
              <a:cs typeface="+mn-cs"/>
            </a:rPr>
            <a:t>(PRODUCT/UNITS)</a:t>
          </a:r>
        </a:p>
        <a:p>
          <a:r>
            <a:rPr lang="en-US" sz="1600" b="1" baseline="0">
              <a:solidFill>
                <a:schemeClr val="lt1"/>
              </a:solidFill>
              <a:effectLst/>
              <a:latin typeface="+mn-lt"/>
              <a:ea typeface="+mn-ea"/>
              <a:cs typeface="+mn-cs"/>
            </a:rPr>
            <a:t>Total profit made across all sales transactions-this generated by substracting  unit costs from revenue(PROFIT=REVENUE-UNIT PRICE)</a:t>
          </a:r>
          <a:endParaRPr lang="en-US" sz="1600">
            <a:effectLst/>
          </a:endParaRPr>
        </a:p>
        <a:p>
          <a:r>
            <a:rPr lang="en-US" sz="1600" baseline="0">
              <a:solidFill>
                <a:schemeClr val="lt1"/>
              </a:solidFill>
              <a:effectLst/>
              <a:latin typeface="+mn-lt"/>
              <a:ea typeface="+mn-ea"/>
              <a:cs typeface="+mn-cs"/>
            </a:rPr>
            <a:t>  </a:t>
          </a:r>
          <a:endParaRPr lang="en-US" sz="1600">
            <a:effectLst/>
          </a:endParaRPr>
        </a:p>
        <a:p>
          <a:pPr algn="l"/>
          <a:endParaRPr lang="en-US" sz="1600" b="1" baseline="0"/>
        </a:p>
        <a:p>
          <a:pPr algn="l"/>
          <a:endParaRPr lang="en-US" sz="1600" baseline="0"/>
        </a:p>
        <a:p>
          <a:pPr algn="l"/>
          <a:endParaRPr lang="en-US" sz="1600" baseline="0"/>
        </a:p>
        <a:p>
          <a:pPr algn="l"/>
          <a:r>
            <a:rPr lang="en-US" sz="1600" baseline="0"/>
            <a:t>  </a:t>
          </a:r>
          <a:endParaRPr lang="en-US" sz="1600"/>
        </a:p>
      </xdr:txBody>
    </xdr:sp>
    <xdr:clientData/>
  </xdr:twoCellAnchor>
  <xdr:twoCellAnchor>
    <xdr:from>
      <xdr:col>4</xdr:col>
      <xdr:colOff>266700</xdr:colOff>
      <xdr:row>0</xdr:row>
      <xdr:rowOff>160020</xdr:rowOff>
    </xdr:from>
    <xdr:to>
      <xdr:col>14</xdr:col>
      <xdr:colOff>335280</xdr:colOff>
      <xdr:row>4</xdr:row>
      <xdr:rowOff>30480</xdr:rowOff>
    </xdr:to>
    <xdr:sp macro="" textlink="">
      <xdr:nvSpPr>
        <xdr:cNvPr id="7" name="Rectangle 6">
          <a:extLst>
            <a:ext uri="{FF2B5EF4-FFF2-40B4-BE49-F238E27FC236}">
              <a16:creationId xmlns:a16="http://schemas.microsoft.com/office/drawing/2014/main" id="{DCD7BDA3-43CF-576B-223A-5998FFBFFD74}"/>
            </a:ext>
          </a:extLst>
        </xdr:cNvPr>
        <xdr:cNvSpPr/>
      </xdr:nvSpPr>
      <xdr:spPr>
        <a:xfrm>
          <a:off x="2705100" y="160020"/>
          <a:ext cx="616458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latin typeface="Arial" panose="020B0604020202020204" pitchFamily="34" charset="0"/>
              <a:cs typeface="Arial" panose="020B0604020202020204" pitchFamily="34" charset="0"/>
            </a:rPr>
            <a:t>      PRE-</a:t>
          </a:r>
          <a:r>
            <a:rPr lang="en-US" sz="2800" baseline="0">
              <a:latin typeface="Arial" panose="020B0604020202020204" pitchFamily="34" charset="0"/>
              <a:cs typeface="Arial" panose="020B0604020202020204" pitchFamily="34" charset="0"/>
            </a:rPr>
            <a:t>ANALYSIS   BOARD</a:t>
          </a:r>
          <a:endParaRPr lang="en-US" sz="2800">
            <a:latin typeface="Arial" panose="020B0604020202020204" pitchFamily="34" charset="0"/>
            <a:cs typeface="Arial" panose="020B0604020202020204" pitchFamily="34" charset="0"/>
          </a:endParaRPr>
        </a:p>
      </xdr:txBody>
    </xdr:sp>
    <xdr:clientData/>
  </xdr:twoCellAnchor>
  <xdr:twoCellAnchor>
    <xdr:from>
      <xdr:col>0</xdr:col>
      <xdr:colOff>95250</xdr:colOff>
      <xdr:row>29</xdr:row>
      <xdr:rowOff>42334</xdr:rowOff>
    </xdr:from>
    <xdr:to>
      <xdr:col>9</xdr:col>
      <xdr:colOff>493059</xdr:colOff>
      <xdr:row>56</xdr:row>
      <xdr:rowOff>156882</xdr:rowOff>
    </xdr:to>
    <xdr:sp macro="" textlink="">
      <xdr:nvSpPr>
        <xdr:cNvPr id="8" name="TextBox 7">
          <a:extLst>
            <a:ext uri="{FF2B5EF4-FFF2-40B4-BE49-F238E27FC236}">
              <a16:creationId xmlns:a16="http://schemas.microsoft.com/office/drawing/2014/main" id="{98EC361B-CF78-681A-DED2-AE5C239B9BD5}"/>
            </a:ext>
          </a:extLst>
        </xdr:cNvPr>
        <xdr:cNvSpPr txBox="1"/>
      </xdr:nvSpPr>
      <xdr:spPr>
        <a:xfrm>
          <a:off x="95250" y="5241863"/>
          <a:ext cx="5843868" cy="495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DATA</a:t>
          </a:r>
          <a:r>
            <a:rPr lang="en-US" sz="1600" b="1" baseline="0"/>
            <a:t> STORY</a:t>
          </a:r>
        </a:p>
        <a:p>
          <a:r>
            <a:rPr lang="en-US" sz="1800" b="1" baseline="0"/>
            <a:t>The data is telling stories about different goods sold by a firm situated in different countries. it also highlights different quantities purchased, the shipping method used payment type, category, shipping unit and details of made by each salesperson. In conclusion, the story here is that of of a merchant sales methodology</a:t>
          </a:r>
        </a:p>
        <a:p>
          <a:endParaRPr lang="en-US" sz="1800" b="1" baseline="0"/>
        </a:p>
        <a:p>
          <a:r>
            <a:rPr lang="en-US" sz="1800" b="1" baseline="0"/>
            <a:t>INDUSTRY TYPE:</a:t>
          </a:r>
        </a:p>
        <a:p>
          <a:r>
            <a:rPr lang="en-US" sz="1800" b="1" baseline="0"/>
            <a:t>E-commerce</a:t>
          </a:r>
        </a:p>
        <a:p>
          <a:endParaRPr lang="en-US" sz="1800" b="1" baseline="0"/>
        </a:p>
        <a:p>
          <a:r>
            <a:rPr lang="en-US" sz="1800" b="1" baseline="0"/>
            <a:t>STAKEHOLDERS:</a:t>
          </a:r>
        </a:p>
        <a:p>
          <a:r>
            <a:rPr lang="en-US" sz="1800" b="1" baseline="0"/>
            <a:t>Chief executive officer(CEO), Manager</a:t>
          </a:r>
        </a:p>
        <a:p>
          <a:endParaRPr lang="en-US" sz="1800" b="1" baseline="0"/>
        </a:p>
        <a:p>
          <a:r>
            <a:rPr lang="en-US" sz="1800" b="1" baseline="0"/>
            <a:t>WHAT SUCCESS MEANS TO THE INDUSTRY:</a:t>
          </a:r>
        </a:p>
        <a:p>
          <a:r>
            <a:rPr lang="en-US" sz="1800" b="1" baseline="0"/>
            <a:t>Generating more revenue which can be achieve  with customer's satisfaction</a:t>
          </a:r>
        </a:p>
        <a:p>
          <a:endParaRPr lang="en-US" sz="1800" b="1" baseline="0"/>
        </a:p>
        <a:p>
          <a:endParaRPr lang="en-US" sz="1800" b="1" baseline="0"/>
        </a:p>
        <a:p>
          <a:endParaRPr lang="en-US" sz="1800" b="1" baseline="0"/>
        </a:p>
        <a:p>
          <a:endParaRPr lang="en-US" sz="1800" b="1" baseline="0"/>
        </a:p>
        <a:p>
          <a:endParaRPr lang="en-US" sz="1800" b="1" baseline="0"/>
        </a:p>
        <a:p>
          <a:endParaRPr lang="en-US" sz="1800" b="1" baseline="0"/>
        </a:p>
        <a:p>
          <a:endParaRPr lang="en-US" sz="1800" b="1"/>
        </a:p>
      </xdr:txBody>
    </xdr:sp>
    <xdr:clientData/>
  </xdr:twoCellAnchor>
  <xdr:twoCellAnchor>
    <xdr:from>
      <xdr:col>0</xdr:col>
      <xdr:colOff>105832</xdr:colOff>
      <xdr:row>57</xdr:row>
      <xdr:rowOff>78441</xdr:rowOff>
    </xdr:from>
    <xdr:to>
      <xdr:col>9</xdr:col>
      <xdr:colOff>437028</xdr:colOff>
      <xdr:row>62</xdr:row>
      <xdr:rowOff>112058</xdr:rowOff>
    </xdr:to>
    <xdr:sp macro="" textlink="">
      <xdr:nvSpPr>
        <xdr:cNvPr id="9" name="TextBox 8">
          <a:extLst>
            <a:ext uri="{FF2B5EF4-FFF2-40B4-BE49-F238E27FC236}">
              <a16:creationId xmlns:a16="http://schemas.microsoft.com/office/drawing/2014/main" id="{004FC4D2-1B9E-C3A9-ECE8-46672EA37449}"/>
            </a:ext>
          </a:extLst>
        </xdr:cNvPr>
        <xdr:cNvSpPr txBox="1"/>
      </xdr:nvSpPr>
      <xdr:spPr>
        <a:xfrm>
          <a:off x="105832" y="10298206"/>
          <a:ext cx="5777255" cy="930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TOOLS TO BE USED</a:t>
          </a:r>
        </a:p>
      </xdr:txBody>
    </xdr:sp>
    <xdr:clientData/>
  </xdr:twoCellAnchor>
  <xdr:twoCellAnchor>
    <xdr:from>
      <xdr:col>24</xdr:col>
      <xdr:colOff>376518</xdr:colOff>
      <xdr:row>4</xdr:row>
      <xdr:rowOff>31376</xdr:rowOff>
    </xdr:from>
    <xdr:to>
      <xdr:col>39</xdr:col>
      <xdr:colOff>10460</xdr:colOff>
      <xdr:row>53</xdr:row>
      <xdr:rowOff>119530</xdr:rowOff>
    </xdr:to>
    <xdr:sp macro="" textlink="">
      <xdr:nvSpPr>
        <xdr:cNvPr id="2" name="Rectangle 1">
          <a:extLst>
            <a:ext uri="{FF2B5EF4-FFF2-40B4-BE49-F238E27FC236}">
              <a16:creationId xmlns:a16="http://schemas.microsoft.com/office/drawing/2014/main" id="{3470623E-753F-E429-7324-BBE680EC4A3A}"/>
            </a:ext>
          </a:extLst>
        </xdr:cNvPr>
        <xdr:cNvSpPr/>
      </xdr:nvSpPr>
      <xdr:spPr>
        <a:xfrm>
          <a:off x="15078636" y="748552"/>
          <a:ext cx="8822765" cy="887356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t>                        PRE-ANALYSIS CITATIONS(MOW)</a:t>
          </a:r>
        </a:p>
        <a:p>
          <a:pPr algn="l"/>
          <a:r>
            <a:rPr lang="en-US" sz="1600" b="0" i="0" u="none" strike="noStrike">
              <a:solidFill>
                <a:schemeClr val="lt1"/>
              </a:solidFill>
              <a:effectLst/>
              <a:latin typeface="+mn-lt"/>
              <a:ea typeface="+mn-ea"/>
              <a:cs typeface="+mn-cs"/>
            </a:rPr>
            <a:t>Sales trend report:T</a:t>
          </a:r>
          <a:r>
            <a:rPr lang="en-US" sz="1600" b="0" i="0" u="none" strike="noStrike" baseline="0">
              <a:solidFill>
                <a:schemeClr val="lt1"/>
              </a:solidFill>
              <a:effectLst/>
              <a:latin typeface="+mn-lt"/>
              <a:ea typeface="+mn-ea"/>
              <a:cs typeface="+mn-cs"/>
            </a:rPr>
            <a:t>rying to find sales made overtime</a:t>
          </a:r>
        </a:p>
        <a:p>
          <a:pPr algn="l"/>
          <a:r>
            <a:rPr lang="en-US" sz="1600" b="0" i="0" u="none" strike="noStrike" baseline="0">
              <a:solidFill>
                <a:schemeClr val="lt1"/>
              </a:solidFill>
              <a:effectLst/>
              <a:latin typeface="+mn-lt"/>
              <a:ea typeface="+mn-ea"/>
              <a:cs typeface="+mn-cs"/>
            </a:rPr>
            <a:t>How to: Revenue x order date</a:t>
          </a:r>
          <a:endParaRPr lang="en-US" sz="1600">
            <a:effectLst/>
          </a:endParaRPr>
        </a:p>
        <a:p>
          <a:pPr algn="l"/>
          <a:r>
            <a:rPr lang="en-US" sz="1600" b="0" i="0" u="none" strike="noStrike">
              <a:solidFill>
                <a:schemeClr val="lt1"/>
              </a:solidFill>
              <a:effectLst/>
              <a:latin typeface="+mn-lt"/>
              <a:ea typeface="+mn-ea"/>
              <a:cs typeface="+mn-cs"/>
            </a:rPr>
            <a:t>p.insights: will help to finetune the months, days with highest sales or low sales</a:t>
          </a:r>
        </a:p>
        <a:p>
          <a:pPr algn="l"/>
          <a:endParaRPr lang="en-US" sz="1600" b="0" i="0" u="none" strike="noStrike">
            <a:solidFill>
              <a:schemeClr val="lt1"/>
            </a:solidFill>
            <a:effectLst/>
            <a:latin typeface="+mn-lt"/>
            <a:ea typeface="+mn-ea"/>
            <a:cs typeface="+mn-cs"/>
          </a:endParaRPr>
        </a:p>
        <a:p>
          <a:pPr algn="l"/>
          <a:r>
            <a:rPr lang="en-US" sz="1600" b="0" i="0" u="none" strike="noStrike">
              <a:solidFill>
                <a:schemeClr val="lt1"/>
              </a:solidFill>
              <a:effectLst/>
              <a:latin typeface="+mn-lt"/>
              <a:ea typeface="+mn-ea"/>
              <a:cs typeface="+mn-cs"/>
            </a:rPr>
            <a:t>Top 10 customers</a:t>
          </a:r>
          <a:r>
            <a:rPr lang="en-US" sz="1600">
              <a:effectLst/>
            </a:rPr>
            <a:t> : trying</a:t>
          </a:r>
          <a:r>
            <a:rPr lang="en-US" sz="1600" baseline="0">
              <a:effectLst/>
            </a:rPr>
            <a:t> to find  best performing customer by purchase</a:t>
          </a:r>
          <a:endParaRPr lang="en-US" sz="1600">
            <a:effectLst/>
          </a:endParaRPr>
        </a:p>
        <a:p>
          <a:pPr algn="l"/>
          <a:r>
            <a:rPr lang="en-US" sz="1600">
              <a:effectLst/>
            </a:rPr>
            <a:t>How</a:t>
          </a:r>
          <a:r>
            <a:rPr lang="en-US" sz="1600" baseline="0">
              <a:effectLst/>
            </a:rPr>
            <a:t> to: customer name x revenue</a:t>
          </a:r>
        </a:p>
        <a:p>
          <a:pPr algn="l"/>
          <a:r>
            <a:rPr lang="en-US" sz="1600" baseline="0">
              <a:effectLst/>
            </a:rPr>
            <a:t>potential insights: will help to finetune customers with highest purchase or least purchase</a:t>
          </a:r>
        </a:p>
        <a:p>
          <a:pPr algn="l"/>
          <a:endParaRPr lang="en-US" sz="1600">
            <a:effectLst/>
          </a:endParaRPr>
        </a:p>
        <a:p>
          <a:pPr algn="l"/>
          <a:r>
            <a:rPr lang="en-US" sz="1600" b="0" i="0" u="none" strike="noStrike">
              <a:solidFill>
                <a:schemeClr val="lt1"/>
              </a:solidFill>
              <a:effectLst/>
              <a:latin typeface="+mn-lt"/>
              <a:ea typeface="+mn-ea"/>
              <a:cs typeface="+mn-cs"/>
            </a:rPr>
            <a:t>Sales by Rep</a:t>
          </a:r>
          <a:r>
            <a:rPr lang="en-US" sz="1600">
              <a:effectLst/>
            </a:rPr>
            <a:t> : Trying to finding best performing salesperson  by sales made</a:t>
          </a:r>
        </a:p>
        <a:p>
          <a:pPr algn="l"/>
          <a:r>
            <a:rPr lang="en-US" sz="1600">
              <a:effectLst/>
            </a:rPr>
            <a:t>How to: salesperson  X Revenue</a:t>
          </a:r>
        </a:p>
        <a:p>
          <a:pPr algn="l"/>
          <a:r>
            <a:rPr lang="en-US" sz="1600">
              <a:effectLst/>
            </a:rPr>
            <a:t>potential insights: will help to finetune</a:t>
          </a:r>
          <a:r>
            <a:rPr lang="en-US" sz="1600" baseline="0">
              <a:effectLst/>
            </a:rPr>
            <a:t> salesperson by sales made</a:t>
          </a:r>
          <a:endParaRPr lang="en-US" sz="1600">
            <a:effectLst/>
          </a:endParaRPr>
        </a:p>
        <a:p>
          <a:pPr algn="l"/>
          <a:endParaRPr lang="en-US" sz="1600">
            <a:effectLst/>
          </a:endParaRPr>
        </a:p>
        <a:p>
          <a:pPr algn="l"/>
          <a:r>
            <a:rPr lang="en-US" sz="1600" b="0" i="0" u="none" strike="noStrike">
              <a:solidFill>
                <a:schemeClr val="lt1"/>
              </a:solidFill>
              <a:effectLst/>
              <a:latin typeface="+mn-lt"/>
              <a:ea typeface="+mn-ea"/>
              <a:cs typeface="+mn-cs"/>
            </a:rPr>
            <a:t>Sales by Region</a:t>
          </a:r>
          <a:r>
            <a:rPr lang="en-US" sz="1600">
              <a:effectLst/>
            </a:rPr>
            <a:t> : This</a:t>
          </a:r>
          <a:r>
            <a:rPr lang="en-US" sz="1600" baseline="0">
              <a:effectLst/>
            </a:rPr>
            <a:t> is trying to find the region with the highest or lowest sales</a:t>
          </a:r>
        </a:p>
        <a:p>
          <a:pPr algn="l"/>
          <a:r>
            <a:rPr lang="en-US" sz="1600" baseline="0">
              <a:effectLst/>
            </a:rPr>
            <a:t>how to: Region x Revenue</a:t>
          </a:r>
        </a:p>
        <a:p>
          <a:pPr algn="l"/>
          <a:r>
            <a:rPr lang="en-US" sz="1600" baseline="0">
              <a:effectLst/>
            </a:rPr>
            <a:t>potential insights: this allows to know the region with lowest/highest sale</a:t>
          </a:r>
        </a:p>
        <a:p>
          <a:pPr algn="l"/>
          <a:endParaRPr lang="en-US" sz="1600">
            <a:effectLst/>
          </a:endParaRPr>
        </a:p>
        <a:p>
          <a:pPr algn="l"/>
          <a:r>
            <a:rPr lang="en-US" sz="1600" b="0" i="0" u="none" strike="noStrike">
              <a:solidFill>
                <a:schemeClr val="lt1"/>
              </a:solidFill>
              <a:effectLst/>
              <a:latin typeface="+mn-lt"/>
              <a:ea typeface="+mn-ea"/>
              <a:cs typeface="+mn-cs"/>
            </a:rPr>
            <a:t>Transaction by Amount.:</a:t>
          </a:r>
          <a:r>
            <a:rPr lang="en-US" sz="1600" b="0" i="0" u="none" strike="noStrike" baseline="0">
              <a:solidFill>
                <a:schemeClr val="lt1"/>
              </a:solidFill>
              <a:effectLst/>
              <a:latin typeface="+mn-lt"/>
              <a:ea typeface="+mn-ea"/>
              <a:cs typeface="+mn-cs"/>
            </a:rPr>
            <a:t> This is trying to find out the  transaction method that generated the highest or lowest  revenue</a:t>
          </a:r>
        </a:p>
        <a:p>
          <a:pPr algn="l"/>
          <a:r>
            <a:rPr lang="en-US" sz="1600" b="0" i="0" u="none" strike="noStrike" baseline="0">
              <a:solidFill>
                <a:schemeClr val="lt1"/>
              </a:solidFill>
              <a:effectLst/>
              <a:latin typeface="+mn-lt"/>
              <a:ea typeface="+mn-ea"/>
              <a:cs typeface="+mn-cs"/>
            </a:rPr>
            <a:t>How to: Payment type  x revenue</a:t>
          </a:r>
        </a:p>
        <a:p>
          <a:pPr algn="l"/>
          <a:r>
            <a:rPr lang="en-US" sz="1600" b="0" i="0" u="none" strike="noStrike" baseline="0">
              <a:solidFill>
                <a:schemeClr val="lt1"/>
              </a:solidFill>
              <a:effectLst/>
              <a:latin typeface="+mn-lt"/>
              <a:ea typeface="+mn-ea"/>
              <a:cs typeface="+mn-cs"/>
            </a:rPr>
            <a:t>potential insights: this helps us to find out  the transaction method  that gave the highest/owest sales/revenue</a:t>
          </a:r>
        </a:p>
        <a:p>
          <a:pPr algn="l"/>
          <a:endParaRPr lang="en-US" sz="1600" b="0" i="0" u="none" strike="noStrike">
            <a:solidFill>
              <a:schemeClr val="lt1"/>
            </a:solidFill>
            <a:effectLst/>
            <a:latin typeface="+mn-lt"/>
            <a:ea typeface="+mn-ea"/>
            <a:cs typeface="+mn-cs"/>
          </a:endParaRPr>
        </a:p>
        <a:p>
          <a:pPr algn="l"/>
          <a:r>
            <a:rPr lang="en-US" sz="1600">
              <a:effectLst/>
            </a:rPr>
            <a:t> </a:t>
          </a:r>
          <a:r>
            <a:rPr lang="en-US" sz="1600" b="0" i="0" u="none" strike="noStrike">
              <a:solidFill>
                <a:schemeClr val="lt1"/>
              </a:solidFill>
              <a:effectLst/>
              <a:latin typeface="+mn-lt"/>
              <a:ea typeface="+mn-ea"/>
              <a:cs typeface="+mn-cs"/>
            </a:rPr>
            <a:t>Sales By Product category: trying to find</a:t>
          </a:r>
          <a:r>
            <a:rPr lang="en-US" sz="1600" b="0" i="0" u="none" strike="noStrike" baseline="0">
              <a:solidFill>
                <a:schemeClr val="lt1"/>
              </a:solidFill>
              <a:effectLst/>
              <a:latin typeface="+mn-lt"/>
              <a:ea typeface="+mn-ea"/>
              <a:cs typeface="+mn-cs"/>
            </a:rPr>
            <a:t>out  the product category wiith highest sales/revenue</a:t>
          </a:r>
        </a:p>
        <a:p>
          <a:pPr algn="l"/>
          <a:r>
            <a:rPr lang="en-US" sz="1600" b="0" i="0" u="none" strike="noStrike" baseline="0">
              <a:solidFill>
                <a:schemeClr val="lt1"/>
              </a:solidFill>
              <a:effectLst/>
              <a:latin typeface="+mn-lt"/>
              <a:ea typeface="+mn-ea"/>
              <a:cs typeface="+mn-cs"/>
            </a:rPr>
            <a:t>how to: product category aagainst revenue</a:t>
          </a:r>
        </a:p>
        <a:p>
          <a:pPr algn="l"/>
          <a:r>
            <a:rPr lang="en-US" sz="1600" b="0" i="0" u="none" strike="noStrike" baseline="0">
              <a:solidFill>
                <a:schemeClr val="lt1"/>
              </a:solidFill>
              <a:effectLst/>
              <a:latin typeface="+mn-lt"/>
              <a:ea typeface="+mn-ea"/>
              <a:cs typeface="+mn-cs"/>
            </a:rPr>
            <a:t>potential insights: this helps us to know  the  product category with the highest or lowest sales</a:t>
          </a:r>
        </a:p>
        <a:p>
          <a:pPr algn="l"/>
          <a:endParaRPr lang="en-US" sz="1600" b="0" i="0" u="none" strike="noStrike">
            <a:solidFill>
              <a:schemeClr val="lt1"/>
            </a:solidFill>
            <a:effectLst/>
            <a:latin typeface="+mn-lt"/>
            <a:ea typeface="+mn-ea"/>
            <a:cs typeface="+mn-cs"/>
          </a:endParaRPr>
        </a:p>
        <a:p>
          <a:pPr algn="l"/>
          <a:r>
            <a:rPr lang="en-US" sz="1600" b="0" i="0" u="none" strike="noStrike">
              <a:solidFill>
                <a:schemeClr val="lt1"/>
              </a:solidFill>
              <a:effectLst/>
              <a:latin typeface="+mn-lt"/>
              <a:ea typeface="+mn-ea"/>
              <a:cs typeface="+mn-cs"/>
            </a:rPr>
            <a:t>Top 6 ship cities by revenue: trying to  find out</a:t>
          </a:r>
          <a:r>
            <a:rPr lang="en-US" sz="1600" b="0" i="0" u="none" strike="noStrike" baseline="0">
              <a:solidFill>
                <a:schemeClr val="lt1"/>
              </a:solidFill>
              <a:effectLst/>
              <a:latin typeface="+mn-lt"/>
              <a:ea typeface="+mn-ea"/>
              <a:cs typeface="+mn-cs"/>
            </a:rPr>
            <a:t> the top 6 ship cities which gave the  highest revenue</a:t>
          </a:r>
        </a:p>
        <a:p>
          <a:pPr algn="l"/>
          <a:r>
            <a:rPr lang="en-US" sz="1600" b="0" i="0" u="none" strike="noStrike" baseline="0">
              <a:solidFill>
                <a:schemeClr val="lt1"/>
              </a:solidFill>
              <a:effectLst/>
              <a:latin typeface="+mn-lt"/>
              <a:ea typeface="+mn-ea"/>
              <a:cs typeface="+mn-cs"/>
            </a:rPr>
            <a:t>how to: </a:t>
          </a:r>
          <a:r>
            <a:rPr lang="en-US" sz="1600" b="0" i="0" u="none" strike="noStrike">
              <a:solidFill>
                <a:schemeClr val="lt1"/>
              </a:solidFill>
              <a:effectLst/>
              <a:latin typeface="+mn-lt"/>
              <a:ea typeface="+mn-ea"/>
              <a:cs typeface="+mn-cs"/>
            </a:rPr>
            <a:t> ship cities against revenue</a:t>
          </a:r>
        </a:p>
        <a:p>
          <a:pPr algn="l"/>
          <a:r>
            <a:rPr lang="en-US" sz="1600" b="0" i="0" u="none" strike="noStrike">
              <a:solidFill>
                <a:schemeClr val="lt1"/>
              </a:solidFill>
              <a:effectLst/>
              <a:latin typeface="+mn-lt"/>
              <a:ea typeface="+mn-ea"/>
              <a:cs typeface="+mn-cs"/>
            </a:rPr>
            <a:t>potential insights:  this helps to finetune  the  ship cities with the highest revenue</a:t>
          </a:r>
        </a:p>
        <a:p>
          <a:pPr algn="l"/>
          <a:endParaRPr lang="en-US" sz="1600" b="0" i="0" u="none" strike="noStrike">
            <a:solidFill>
              <a:schemeClr val="lt1"/>
            </a:solidFill>
            <a:effectLst/>
            <a:latin typeface="+mn-lt"/>
            <a:ea typeface="+mn-ea"/>
            <a:cs typeface="+mn-cs"/>
          </a:endParaRPr>
        </a:p>
        <a:p>
          <a:pPr algn="l"/>
          <a:r>
            <a:rPr lang="en-US" sz="1600">
              <a:effectLst/>
            </a:rPr>
            <a:t> </a:t>
          </a:r>
          <a:r>
            <a:rPr lang="en-US" sz="1600" b="0" i="0" u="none" strike="noStrike">
              <a:solidFill>
                <a:schemeClr val="lt1"/>
              </a:solidFill>
              <a:effectLst/>
              <a:latin typeface="+mn-lt"/>
              <a:ea typeface="+mn-ea"/>
              <a:cs typeface="+mn-cs"/>
            </a:rPr>
            <a:t>Top 5 cities By revenue : trying</a:t>
          </a:r>
          <a:r>
            <a:rPr lang="en-US" sz="1600" b="0" i="0" u="none" strike="noStrike" baseline="0">
              <a:solidFill>
                <a:schemeClr val="lt1"/>
              </a:solidFill>
              <a:effectLst/>
              <a:latin typeface="+mn-lt"/>
              <a:ea typeface="+mn-ea"/>
              <a:cs typeface="+mn-cs"/>
            </a:rPr>
            <a:t> to fin out the top 5 cities that generated the highest revenue</a:t>
          </a:r>
        </a:p>
        <a:p>
          <a:pPr algn="l"/>
          <a:r>
            <a:rPr lang="en-US" sz="1600" b="0" i="0" u="none" strike="noStrike" baseline="0">
              <a:solidFill>
                <a:schemeClr val="lt1"/>
              </a:solidFill>
              <a:effectLst/>
              <a:latin typeface="+mn-lt"/>
              <a:ea typeface="+mn-ea"/>
              <a:cs typeface="+mn-cs"/>
            </a:rPr>
            <a:t>how to:  cities against revenue</a:t>
          </a:r>
        </a:p>
        <a:p>
          <a:pPr algn="l"/>
          <a:r>
            <a:rPr lang="en-US" sz="1600" b="0" i="0" u="none" strike="noStrike" baseline="0">
              <a:solidFill>
                <a:schemeClr val="lt1"/>
              </a:solidFill>
              <a:effectLst/>
              <a:latin typeface="+mn-lt"/>
              <a:ea typeface="+mn-ea"/>
              <a:cs typeface="+mn-cs"/>
            </a:rPr>
            <a:t>potential insights:  this helps to to finetune the  cities with the highest revenue</a:t>
          </a:r>
          <a:endParaRPr lang="en-US" sz="1600" b="0" i="0" u="none" strike="noStrike">
            <a:solidFill>
              <a:schemeClr val="lt1"/>
            </a:solidFill>
            <a:effectLst/>
            <a:latin typeface="+mn-lt"/>
            <a:ea typeface="+mn-ea"/>
            <a:cs typeface="+mn-cs"/>
          </a:endParaRPr>
        </a:p>
        <a:p>
          <a:pPr algn="l"/>
          <a:r>
            <a:rPr lang="en-US" sz="1600">
              <a:effectLst/>
            </a:rPr>
            <a:t> </a:t>
          </a:r>
          <a:endParaRPr lang="en-US" sz="1600" b="1" baseline="0"/>
        </a:p>
        <a:p>
          <a:pPr algn="l"/>
          <a:r>
            <a:rPr lang="en-US" sz="1600" b="1" baseline="0"/>
            <a:t>         </a:t>
          </a:r>
          <a:endParaRPr lang="en-US" sz="1600">
            <a:effectLst/>
          </a:endParaRPr>
        </a:p>
        <a:p>
          <a:r>
            <a:rPr lang="en-US" sz="1600" baseline="0">
              <a:solidFill>
                <a:schemeClr val="lt1"/>
              </a:solidFill>
              <a:effectLst/>
              <a:latin typeface="+mn-lt"/>
              <a:ea typeface="+mn-ea"/>
              <a:cs typeface="+mn-cs"/>
            </a:rPr>
            <a:t>  </a:t>
          </a:r>
          <a:endParaRPr lang="en-US" sz="1600">
            <a:effectLst/>
          </a:endParaRPr>
        </a:p>
        <a:p>
          <a:pPr algn="l"/>
          <a:endParaRPr lang="en-US" sz="1600" b="1" baseline="0"/>
        </a:p>
        <a:p>
          <a:pPr algn="l"/>
          <a:endParaRPr lang="en-US" sz="1600" baseline="0"/>
        </a:p>
        <a:p>
          <a:pPr algn="l"/>
          <a:endParaRPr lang="en-US" sz="1600" baseline="0"/>
        </a:p>
        <a:p>
          <a:pPr algn="l"/>
          <a:r>
            <a:rPr lang="en-US" sz="1600" baseline="0"/>
            <a:t>  </a:t>
          </a:r>
          <a:endParaRPr lang="en-US" sz="1600"/>
        </a:p>
      </xdr:txBody>
    </xdr:sp>
    <xdr:clientData/>
  </xdr:twoCellAnchor>
  <xdr:twoCellAnchor>
    <xdr:from>
      <xdr:col>15</xdr:col>
      <xdr:colOff>343647</xdr:colOff>
      <xdr:row>55</xdr:row>
      <xdr:rowOff>59764</xdr:rowOff>
    </xdr:from>
    <xdr:to>
      <xdr:col>39</xdr:col>
      <xdr:colOff>226360</xdr:colOff>
      <xdr:row>150</xdr:row>
      <xdr:rowOff>59763</xdr:rowOff>
    </xdr:to>
    <xdr:sp macro="" textlink="">
      <xdr:nvSpPr>
        <xdr:cNvPr id="3" name="Rectangle 2">
          <a:extLst>
            <a:ext uri="{FF2B5EF4-FFF2-40B4-BE49-F238E27FC236}">
              <a16:creationId xmlns:a16="http://schemas.microsoft.com/office/drawing/2014/main" id="{FCAEE3F0-CFC1-8CC9-BF6D-64112DF03C20}"/>
            </a:ext>
          </a:extLst>
        </xdr:cNvPr>
        <xdr:cNvSpPr/>
      </xdr:nvSpPr>
      <xdr:spPr>
        <a:xfrm>
          <a:off x="9532471" y="9920940"/>
          <a:ext cx="14584830" cy="1703294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PRE-ANALYSIS CITATIONS</a:t>
          </a:r>
        </a:p>
        <a:p>
          <a:r>
            <a:rPr lang="en-US" sz="1600" b="1"/>
            <a:t>Sales Trend Report (Pre-Analytics Phase)</a:t>
          </a:r>
        </a:p>
        <a:p>
          <a:r>
            <a:rPr lang="en-US" sz="1600" b="1"/>
            <a:t>Purpose</a:t>
          </a:r>
          <a:br>
            <a:rPr lang="en-US" sz="1600"/>
          </a:br>
          <a:r>
            <a:rPr lang="en-US" sz="1600"/>
            <a:t>To assess how sales revenue evolves over time and identify underlying performance patterns.</a:t>
          </a:r>
        </a:p>
        <a:p>
          <a:r>
            <a:rPr lang="en-US" sz="1600" b="1"/>
            <a:t>Analytical Approach</a:t>
          </a:r>
          <a:endParaRPr lang="en-US" sz="1600"/>
        </a:p>
        <a:p>
          <a:r>
            <a:rPr lang="en-US" sz="1600"/>
            <a:t>Analyze </a:t>
          </a:r>
          <a:r>
            <a:rPr lang="en-US" sz="1600" b="1"/>
            <a:t>revenue in relation to order dates</a:t>
          </a:r>
          <a:r>
            <a:rPr lang="en-US" sz="1600"/>
            <a:t> to track sales trends across time periods.</a:t>
          </a:r>
        </a:p>
        <a:p>
          <a:r>
            <a:rPr lang="en-US" sz="1600"/>
            <a:t>Organize data by </a:t>
          </a:r>
          <a:r>
            <a:rPr lang="en-US" sz="1600" b="1"/>
            <a:t>day and month</a:t>
          </a:r>
          <a:r>
            <a:rPr lang="en-US" sz="1600"/>
            <a:t> to enable temporal comparison.</a:t>
          </a:r>
        </a:p>
        <a:p>
          <a:r>
            <a:rPr lang="en-US" sz="1600" b="1"/>
            <a:t>Potential Insights</a:t>
          </a:r>
          <a:endParaRPr lang="en-US" sz="1600"/>
        </a:p>
        <a:p>
          <a:r>
            <a:rPr lang="en-US" sz="1600"/>
            <a:t>Identification of </a:t>
          </a:r>
          <a:r>
            <a:rPr lang="en-US" sz="1600" b="1"/>
            <a:t>months and days with peak sales performance</a:t>
          </a:r>
          <a:r>
            <a:rPr lang="en-US" sz="1600"/>
            <a:t>.</a:t>
          </a:r>
        </a:p>
        <a:p>
          <a:r>
            <a:rPr lang="en-US" sz="1600"/>
            <a:t>Detection of </a:t>
          </a:r>
          <a:r>
            <a:rPr lang="en-US" sz="1600" b="1"/>
            <a:t>low-performing periods</a:t>
          </a:r>
          <a:r>
            <a:rPr lang="en-US" sz="1600"/>
            <a:t>, supporting early diagnosis of revenue gaps.</a:t>
          </a:r>
        </a:p>
        <a:p>
          <a:r>
            <a:rPr lang="en-US" sz="1600"/>
            <a:t>Foundation for deeper analysis into seasonality, demand cycles, and sales optimization.</a:t>
          </a:r>
        </a:p>
        <a:p>
          <a:r>
            <a:rPr lang="en-US" sz="1600" b="1"/>
            <a:t>Strategic Value</a:t>
          </a:r>
          <a:br>
            <a:rPr lang="en-US" sz="1600"/>
          </a:br>
          <a:r>
            <a:rPr lang="en-US" sz="1600"/>
            <a:t>The outcome of this pre-analytics exercise will guide subsequent analysis, support data-driven decision-making, and inform sales planning and forecasting.</a:t>
          </a:r>
        </a:p>
        <a:p>
          <a:endParaRPr lang="en-US" sz="1600"/>
        </a:p>
        <a:p>
          <a:r>
            <a:rPr lang="en-US" sz="1600" b="1"/>
            <a:t>Top 10 Customers Analysis (Pre-Analytics Phase)</a:t>
          </a:r>
        </a:p>
        <a:p>
          <a:r>
            <a:rPr lang="en-US" sz="1600" b="1"/>
            <a:t>Objective</a:t>
          </a:r>
          <a:br>
            <a:rPr lang="en-US" sz="1600"/>
          </a:br>
          <a:r>
            <a:rPr lang="en-US" sz="1600"/>
            <a:t>To identify the highest-performing customers based on purchase value.</a:t>
          </a:r>
        </a:p>
        <a:p>
          <a:r>
            <a:rPr lang="en-US" sz="1600" b="1"/>
            <a:t>Analytical Approach</a:t>
          </a:r>
          <a:endParaRPr lang="en-US" sz="1600"/>
        </a:p>
        <a:p>
          <a:r>
            <a:rPr lang="en-US" sz="1600"/>
            <a:t>Analyze </a:t>
          </a:r>
          <a:r>
            <a:rPr lang="en-US" sz="1600" b="1"/>
            <a:t>customer names in relation to total revenue generated</a:t>
          </a:r>
          <a:r>
            <a:rPr lang="en-US" sz="1600"/>
            <a:t>.</a:t>
          </a:r>
        </a:p>
        <a:p>
          <a:r>
            <a:rPr lang="en-US" sz="1600"/>
            <a:t>Rank customers by revenue contribution to determine the </a:t>
          </a:r>
          <a:r>
            <a:rPr lang="en-US" sz="1600" b="1"/>
            <a:t>top 10 customers</a:t>
          </a:r>
          <a:r>
            <a:rPr lang="en-US" sz="1600"/>
            <a:t>.</a:t>
          </a:r>
        </a:p>
        <a:p>
          <a:r>
            <a:rPr lang="en-US" sz="1600" b="1"/>
            <a:t>Potential Insights</a:t>
          </a:r>
          <a:endParaRPr lang="en-US" sz="1600"/>
        </a:p>
        <a:p>
          <a:r>
            <a:rPr lang="en-US" sz="1600"/>
            <a:t>Identification of </a:t>
          </a:r>
          <a:r>
            <a:rPr lang="en-US" sz="1600" b="1"/>
            <a:t>customers with the highest purchase volumes</a:t>
          </a:r>
          <a:r>
            <a:rPr lang="en-US" sz="1600"/>
            <a:t>.</a:t>
          </a:r>
        </a:p>
        <a:p>
          <a:r>
            <a:rPr lang="en-US" sz="1600"/>
            <a:t>Visibility into </a:t>
          </a:r>
          <a:r>
            <a:rPr lang="en-US" sz="1600" b="1"/>
            <a:t>lower-contributing customers</a:t>
          </a:r>
          <a:r>
            <a:rPr lang="en-US" sz="1600"/>
            <a:t>, supporting early segmentation.</a:t>
          </a:r>
        </a:p>
        <a:p>
          <a:r>
            <a:rPr lang="en-US" sz="1600"/>
            <a:t>Foundation for targeted customer engagement, retention strategies, and revenue optimization in subsequent analytical phases.</a:t>
          </a:r>
        </a:p>
        <a:p>
          <a:r>
            <a:rPr lang="en-US" sz="1600" b="1"/>
            <a:t>Strategic Relevance</a:t>
          </a:r>
          <a:br>
            <a:rPr lang="en-US" sz="1600"/>
          </a:br>
          <a:r>
            <a:rPr lang="en-US" sz="1600"/>
            <a:t>This analysis provides an initial understanding of customer concentration and performance, guiding deeper customer-level analytics and strategic decision-making.</a:t>
          </a:r>
        </a:p>
        <a:p>
          <a:endParaRPr lang="en-US" sz="1600"/>
        </a:p>
        <a:p>
          <a:r>
            <a:rPr lang="en-US" sz="1600" b="1"/>
            <a:t>Sales Performance by Sales Representative</a:t>
          </a:r>
          <a:br>
            <a:rPr lang="en-US" sz="1600"/>
          </a:br>
          <a:r>
            <a:rPr lang="en-US" sz="1600" b="1"/>
            <a:t>Objective:</a:t>
          </a:r>
          <a:r>
            <a:rPr lang="en-US" sz="1600"/>
            <a:t> Determine the best-performing sales representative based on total sales revenue generated.</a:t>
          </a:r>
          <a:br>
            <a:rPr lang="en-US" sz="1600"/>
          </a:br>
          <a:r>
            <a:rPr lang="en-US" sz="1600" b="1"/>
            <a:t>Methodology:</a:t>
          </a:r>
          <a:r>
            <a:rPr lang="en-US" sz="1600"/>
            <a:t> Evaluate </a:t>
          </a:r>
          <a:r>
            <a:rPr lang="en-US" sz="1600" i="1"/>
            <a:t>Sales Representative × Revenue</a:t>
          </a:r>
          <a:r>
            <a:rPr lang="en-US" sz="1600"/>
            <a:t> to measure and compare individual sales contributions.</a:t>
          </a:r>
          <a:br>
            <a:rPr lang="en-US" sz="1600"/>
          </a:br>
          <a:r>
            <a:rPr lang="en-US" sz="1600" b="1"/>
            <a:t>Potential Insights:</a:t>
          </a:r>
          <a:r>
            <a:rPr lang="en-US" sz="1600"/>
            <a:t> This analysis will identify high- and low-performing sales representatives, supporting data-driven decisions on performance management, incentives, resource allocation, and targeted sales improvement initiatives.</a:t>
          </a:r>
        </a:p>
        <a:p>
          <a:endParaRPr lang="en-US" sz="1600" b="1"/>
        </a:p>
        <a:p>
          <a:r>
            <a:rPr lang="en-US" sz="1600" b="1"/>
            <a:t>Sales Performance by Region</a:t>
          </a:r>
          <a:br>
            <a:rPr lang="en-US" sz="1600"/>
          </a:br>
          <a:r>
            <a:rPr lang="en-US" sz="1600" b="1"/>
            <a:t>Objective:</a:t>
          </a:r>
          <a:r>
            <a:rPr lang="en-US" sz="1600"/>
            <a:t> Identify regions with the highest and lowest sales performance based on revenue generated.</a:t>
          </a:r>
          <a:br>
            <a:rPr lang="en-US" sz="1600"/>
          </a:br>
          <a:r>
            <a:rPr lang="en-US" sz="1600" b="1"/>
            <a:t>Methodology:</a:t>
          </a:r>
          <a:r>
            <a:rPr lang="en-US" sz="1600"/>
            <a:t> Analyze </a:t>
          </a:r>
          <a:r>
            <a:rPr lang="en-US" sz="1600" i="1"/>
            <a:t>Region × Revenue</a:t>
          </a:r>
          <a:r>
            <a:rPr lang="en-US" sz="1600"/>
            <a:t> to compare sales outcomes across different geographical regions.</a:t>
          </a:r>
          <a:br>
            <a:rPr lang="en-US" sz="1600"/>
          </a:br>
          <a:r>
            <a:rPr lang="en-US" sz="1600" b="1"/>
            <a:t>Potential Insights:</a:t>
          </a:r>
          <a:r>
            <a:rPr lang="en-US" sz="1600"/>
            <a:t> This analysis will highlight top-performing and underperforming regions, enabling informed decisions on regional strategy, resource allocation, market expansion, and targeted sales improvement initiatives.</a:t>
          </a:r>
        </a:p>
        <a:p>
          <a:endParaRPr lang="en-US" sz="1600"/>
        </a:p>
        <a:p>
          <a:r>
            <a:rPr lang="en-US" sz="1600" b="1"/>
            <a:t>Transaction Performance by Payment Method</a:t>
          </a:r>
          <a:br>
            <a:rPr lang="en-US" sz="1600"/>
          </a:br>
          <a:r>
            <a:rPr lang="en-US" sz="1600" b="1"/>
            <a:t>Objective:</a:t>
          </a:r>
          <a:r>
            <a:rPr lang="en-US" sz="1600"/>
            <a:t> Identify the payment method that generates the highest and lowest revenue.</a:t>
          </a:r>
          <a:br>
            <a:rPr lang="en-US" sz="1600"/>
          </a:br>
          <a:r>
            <a:rPr lang="en-US" sz="1600" b="1"/>
            <a:t>Methodology:</a:t>
          </a:r>
          <a:r>
            <a:rPr lang="en-US" sz="1600"/>
            <a:t> Analyze </a:t>
          </a:r>
          <a:r>
            <a:rPr lang="en-US" sz="1600" i="1"/>
            <a:t>Payment Method × Revenue</a:t>
          </a:r>
          <a:r>
            <a:rPr lang="en-US" sz="1600"/>
            <a:t> to compare revenue contribution by transaction type.</a:t>
          </a:r>
          <a:br>
            <a:rPr lang="en-US" sz="1600"/>
          </a:br>
          <a:r>
            <a:rPr lang="en-US" sz="1600" b="1"/>
            <a:t>Potential Insights:</a:t>
          </a:r>
          <a:r>
            <a:rPr lang="en-US" sz="1600"/>
            <a:t> This analysis will reveal the most and least effective payment methods, supporting decisions on payment optimization, customer convenience, and transaction cost efficiency.</a:t>
          </a:r>
        </a:p>
        <a:p>
          <a:endParaRPr lang="en-US" sz="1600"/>
        </a:p>
        <a:p>
          <a:r>
            <a:rPr lang="en-US" sz="1600" b="1"/>
            <a:t>Sales Performance by Product Category</a:t>
          </a:r>
          <a:br>
            <a:rPr lang="en-US" sz="1600"/>
          </a:br>
          <a:r>
            <a:rPr lang="en-US" sz="1600" b="1"/>
            <a:t>Objective:</a:t>
          </a:r>
          <a:r>
            <a:rPr lang="en-US" sz="1600"/>
            <a:t> Determine the product categories with the highest and lowest sales revenue.</a:t>
          </a:r>
          <a:br>
            <a:rPr lang="en-US" sz="1600"/>
          </a:br>
          <a:r>
            <a:rPr lang="en-US" sz="1600" b="1"/>
            <a:t>Methodology:</a:t>
          </a:r>
          <a:r>
            <a:rPr lang="en-US" sz="1600"/>
            <a:t> Evaluate </a:t>
          </a:r>
          <a:r>
            <a:rPr lang="en-US" sz="1600" i="1"/>
            <a:t>Product Category × Revenue</a:t>
          </a:r>
          <a:r>
            <a:rPr lang="en-US" sz="1600"/>
            <a:t> to assess revenue contribution across product segments.</a:t>
          </a:r>
          <a:br>
            <a:rPr lang="en-US" sz="1600"/>
          </a:br>
          <a:r>
            <a:rPr lang="en-US" sz="1600" b="1"/>
            <a:t>Potential Insights:</a:t>
          </a:r>
          <a:r>
            <a:rPr lang="en-US" sz="1600"/>
            <a:t> This analysis will highlight top- and underperforming product categories, informing inventory planning, pricing strategy, and category-focused marketing initiatives.</a:t>
          </a:r>
        </a:p>
        <a:p>
          <a:endParaRPr lang="en-US" sz="1600"/>
        </a:p>
        <a:p>
          <a:r>
            <a:rPr lang="en-US" sz="1600" b="1"/>
            <a:t>Top 6 Shipping Cities by Revenue</a:t>
          </a:r>
          <a:br>
            <a:rPr lang="en-US" sz="1600"/>
          </a:br>
          <a:r>
            <a:rPr lang="en-US" sz="1600" b="1"/>
            <a:t>Objective:</a:t>
          </a:r>
          <a:r>
            <a:rPr lang="en-US" sz="1600"/>
            <a:t> Identify the top six shipping cities contributing the highest revenue.</a:t>
          </a:r>
          <a:br>
            <a:rPr lang="en-US" sz="1600"/>
          </a:br>
          <a:r>
            <a:rPr lang="en-US" sz="1600" b="1"/>
            <a:t>Methodology:</a:t>
          </a:r>
          <a:r>
            <a:rPr lang="en-US" sz="1600"/>
            <a:t> Analyze </a:t>
          </a:r>
          <a:r>
            <a:rPr lang="en-US" sz="1600" i="1"/>
            <a:t>Shipping City × Revenue</a:t>
          </a:r>
          <a:r>
            <a:rPr lang="en-US" sz="1600"/>
            <a:t> and rank cities based on total revenue generated.</a:t>
          </a:r>
          <a:br>
            <a:rPr lang="en-US" sz="1600"/>
          </a:br>
          <a:r>
            <a:rPr lang="en-US" sz="1600" b="1"/>
            <a:t>Potential Insights:</a:t>
          </a:r>
          <a:r>
            <a:rPr lang="en-US" sz="1600"/>
            <a:t> This analysis will help prioritize high-performing shipping locations, optimize logistics planning, and focus operational resources on revenue-driving cities.</a:t>
          </a:r>
        </a:p>
        <a:p>
          <a:endParaRPr lang="en-US" sz="1600"/>
        </a:p>
        <a:p>
          <a:r>
            <a:rPr lang="en-US" sz="1600" b="1"/>
            <a:t>Top 5 Cities by Revenue</a:t>
          </a:r>
          <a:br>
            <a:rPr lang="en-US" sz="1600"/>
          </a:br>
          <a:r>
            <a:rPr lang="en-US" sz="1600" b="1"/>
            <a:t>Objective:</a:t>
          </a:r>
          <a:r>
            <a:rPr lang="en-US" sz="1600"/>
            <a:t> Determine the top five cities generating the highest overall revenue.</a:t>
          </a:r>
          <a:br>
            <a:rPr lang="en-US" sz="1600"/>
          </a:br>
          <a:r>
            <a:rPr lang="en-US" sz="1600" b="1"/>
            <a:t>Methodology:</a:t>
          </a:r>
          <a:r>
            <a:rPr lang="en-US" sz="1600"/>
            <a:t> Assess </a:t>
          </a:r>
          <a:r>
            <a:rPr lang="en-US" sz="1600" i="1"/>
            <a:t>City × Revenue</a:t>
          </a:r>
          <a:r>
            <a:rPr lang="en-US" sz="1600"/>
            <a:t> to rank cities by total sales performance.</a:t>
          </a:r>
          <a:br>
            <a:rPr lang="en-US" sz="1600"/>
          </a:br>
          <a:r>
            <a:rPr lang="en-US" sz="1600" b="1"/>
            <a:t>Potential Insights:</a:t>
          </a:r>
          <a:r>
            <a:rPr lang="en-US" sz="1600"/>
            <a:t> This analysis will highlight key revenue-generating cities, supporting strategic market focus, regional expansion decisions, and targeted sales initiatives.</a:t>
          </a:r>
        </a:p>
        <a:p>
          <a:br>
            <a:rPr lang="en-US" sz="1600"/>
          </a:br>
          <a:endParaRPr lang="en-US" sz="1600"/>
        </a:p>
        <a:p>
          <a:endParaRPr lang="en-US" sz="1600"/>
        </a:p>
        <a:p>
          <a:br>
            <a:rPr lang="en-US" sz="1600"/>
          </a:br>
          <a:endParaRPr lang="en-US" sz="1600"/>
        </a:p>
        <a:p>
          <a:endParaRPr lang="en-US" sz="1600"/>
        </a:p>
        <a:p>
          <a:endParaRPr lang="en-US" sz="1600"/>
        </a:p>
        <a:p>
          <a:r>
            <a:rPr lang="en-US" sz="1600"/>
            <a:t> </a:t>
          </a:r>
          <a:endParaRPr lang="en-US" sz="1600" b="1" baseline="0"/>
        </a:p>
        <a:p>
          <a:pPr algn="l"/>
          <a:endParaRPr lang="en-US" sz="1600" baseline="0"/>
        </a:p>
        <a:p>
          <a:pPr algn="l"/>
          <a:endParaRPr lang="en-US" sz="1600" baseline="0"/>
        </a:p>
        <a:p>
          <a:pPr algn="l"/>
          <a:r>
            <a:rPr lang="en-US" sz="1600" baseline="0"/>
            <a:t>  </a:t>
          </a:r>
          <a:endParaRPr lang="en-US" sz="16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280737</xdr:colOff>
      <xdr:row>11</xdr:row>
      <xdr:rowOff>176463</xdr:rowOff>
    </xdr:from>
    <xdr:to>
      <xdr:col>12</xdr:col>
      <xdr:colOff>264694</xdr:colOff>
      <xdr:row>28</xdr:row>
      <xdr:rowOff>96252</xdr:rowOff>
    </xdr:to>
    <xdr:graphicFrame macro="">
      <xdr:nvGraphicFramePr>
        <xdr:cNvPr id="2" name="Chart 1">
          <a:extLst>
            <a:ext uri="{FF2B5EF4-FFF2-40B4-BE49-F238E27FC236}">
              <a16:creationId xmlns:a16="http://schemas.microsoft.com/office/drawing/2014/main" id="{ACA321F8-038B-46E1-93E5-B236ED462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63499</xdr:colOff>
      <xdr:row>8</xdr:row>
      <xdr:rowOff>142558</xdr:rowOff>
    </xdr:from>
    <xdr:to>
      <xdr:col>11</xdr:col>
      <xdr:colOff>309562</xdr:colOff>
      <xdr:row>26</xdr:row>
      <xdr:rowOff>23813</xdr:rowOff>
    </xdr:to>
    <xdr:graphicFrame macro="">
      <xdr:nvGraphicFramePr>
        <xdr:cNvPr id="2" name="Chart 1">
          <a:extLst>
            <a:ext uri="{FF2B5EF4-FFF2-40B4-BE49-F238E27FC236}">
              <a16:creationId xmlns:a16="http://schemas.microsoft.com/office/drawing/2014/main" id="{B8BB3F29-D131-4E69-B411-4562A8AA2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64145</xdr:colOff>
      <xdr:row>10</xdr:row>
      <xdr:rowOff>56030</xdr:rowOff>
    </xdr:from>
    <xdr:to>
      <xdr:col>12</xdr:col>
      <xdr:colOff>596648</xdr:colOff>
      <xdr:row>29</xdr:row>
      <xdr:rowOff>141923</xdr:rowOff>
    </xdr:to>
    <xdr:graphicFrame macro="">
      <xdr:nvGraphicFramePr>
        <xdr:cNvPr id="2" name="Chart 1">
          <a:extLst>
            <a:ext uri="{FF2B5EF4-FFF2-40B4-BE49-F238E27FC236}">
              <a16:creationId xmlns:a16="http://schemas.microsoft.com/office/drawing/2014/main" id="{F8B4D398-BB9A-4679-ACEF-E887767D7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86557</xdr:colOff>
      <xdr:row>10</xdr:row>
      <xdr:rowOff>44824</xdr:rowOff>
    </xdr:from>
    <xdr:to>
      <xdr:col>12</xdr:col>
      <xdr:colOff>571500</xdr:colOff>
      <xdr:row>29</xdr:row>
      <xdr:rowOff>130717</xdr:rowOff>
    </xdr:to>
    <xdr:graphicFrame macro="">
      <xdr:nvGraphicFramePr>
        <xdr:cNvPr id="5" name="Chart 4">
          <a:extLst>
            <a:ext uri="{FF2B5EF4-FFF2-40B4-BE49-F238E27FC236}">
              <a16:creationId xmlns:a16="http://schemas.microsoft.com/office/drawing/2014/main" id="{914192CE-6D44-F2C5-8AB8-479B7551E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52940</xdr:colOff>
      <xdr:row>10</xdr:row>
      <xdr:rowOff>44824</xdr:rowOff>
    </xdr:from>
    <xdr:to>
      <xdr:col>8</xdr:col>
      <xdr:colOff>100853</xdr:colOff>
      <xdr:row>29</xdr:row>
      <xdr:rowOff>130717</xdr:rowOff>
    </xdr:to>
    <xdr:graphicFrame macro="">
      <xdr:nvGraphicFramePr>
        <xdr:cNvPr id="6" name="Chart 5">
          <a:extLst>
            <a:ext uri="{FF2B5EF4-FFF2-40B4-BE49-F238E27FC236}">
              <a16:creationId xmlns:a16="http://schemas.microsoft.com/office/drawing/2014/main" id="{3DA75332-5FC2-7923-E7D4-0E07D07E7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1072676</xdr:colOff>
      <xdr:row>10</xdr:row>
      <xdr:rowOff>11206</xdr:rowOff>
    </xdr:from>
    <xdr:to>
      <xdr:col>13</xdr:col>
      <xdr:colOff>56030</xdr:colOff>
      <xdr:row>30</xdr:row>
      <xdr:rowOff>0</xdr:rowOff>
    </xdr:to>
    <xdr:graphicFrame macro="">
      <xdr:nvGraphicFramePr>
        <xdr:cNvPr id="7" name="Chart 6">
          <a:extLst>
            <a:ext uri="{FF2B5EF4-FFF2-40B4-BE49-F238E27FC236}">
              <a16:creationId xmlns:a16="http://schemas.microsoft.com/office/drawing/2014/main" id="{8A0B55C2-D742-3E00-9347-178151F4F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64145</xdr:colOff>
      <xdr:row>10</xdr:row>
      <xdr:rowOff>56030</xdr:rowOff>
    </xdr:from>
    <xdr:to>
      <xdr:col>12</xdr:col>
      <xdr:colOff>596648</xdr:colOff>
      <xdr:row>29</xdr:row>
      <xdr:rowOff>141923</xdr:rowOff>
    </xdr:to>
    <xdr:graphicFrame macro="">
      <xdr:nvGraphicFramePr>
        <xdr:cNvPr id="2" name="Chart 1">
          <a:extLst>
            <a:ext uri="{FF2B5EF4-FFF2-40B4-BE49-F238E27FC236}">
              <a16:creationId xmlns:a16="http://schemas.microsoft.com/office/drawing/2014/main" id="{10057EF7-B052-40D0-A085-7A048EA80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86557</xdr:colOff>
      <xdr:row>10</xdr:row>
      <xdr:rowOff>44824</xdr:rowOff>
    </xdr:from>
    <xdr:to>
      <xdr:col>12</xdr:col>
      <xdr:colOff>571500</xdr:colOff>
      <xdr:row>29</xdr:row>
      <xdr:rowOff>130717</xdr:rowOff>
    </xdr:to>
    <xdr:graphicFrame macro="">
      <xdr:nvGraphicFramePr>
        <xdr:cNvPr id="3" name="Chart 2">
          <a:extLst>
            <a:ext uri="{FF2B5EF4-FFF2-40B4-BE49-F238E27FC236}">
              <a16:creationId xmlns:a16="http://schemas.microsoft.com/office/drawing/2014/main" id="{D6F48B0F-99F0-4DC8-AA84-3DF4C48B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52940</xdr:colOff>
      <xdr:row>10</xdr:row>
      <xdr:rowOff>44824</xdr:rowOff>
    </xdr:from>
    <xdr:to>
      <xdr:col>8</xdr:col>
      <xdr:colOff>100853</xdr:colOff>
      <xdr:row>29</xdr:row>
      <xdr:rowOff>130717</xdr:rowOff>
    </xdr:to>
    <xdr:graphicFrame macro="">
      <xdr:nvGraphicFramePr>
        <xdr:cNvPr id="4" name="Chart 3">
          <a:extLst>
            <a:ext uri="{FF2B5EF4-FFF2-40B4-BE49-F238E27FC236}">
              <a16:creationId xmlns:a16="http://schemas.microsoft.com/office/drawing/2014/main" id="{53BE04F9-B087-4C12-905F-6F1FF912B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1019336</xdr:colOff>
      <xdr:row>10</xdr:row>
      <xdr:rowOff>33617</xdr:rowOff>
    </xdr:from>
    <xdr:to>
      <xdr:col>13</xdr:col>
      <xdr:colOff>56030</xdr:colOff>
      <xdr:row>31</xdr:row>
      <xdr:rowOff>78153</xdr:rowOff>
    </xdr:to>
    <xdr:graphicFrame macro="">
      <xdr:nvGraphicFramePr>
        <xdr:cNvPr id="5" name="Chart 4">
          <a:extLst>
            <a:ext uri="{FF2B5EF4-FFF2-40B4-BE49-F238E27FC236}">
              <a16:creationId xmlns:a16="http://schemas.microsoft.com/office/drawing/2014/main" id="{17CE871F-8152-49D2-A21A-B36C9438B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586154</xdr:colOff>
      <xdr:row>13</xdr:row>
      <xdr:rowOff>54708</xdr:rowOff>
    </xdr:from>
    <xdr:to>
      <xdr:col>11</xdr:col>
      <xdr:colOff>312615</xdr:colOff>
      <xdr:row>28</xdr:row>
      <xdr:rowOff>13677</xdr:rowOff>
    </xdr:to>
    <xdr:graphicFrame macro="">
      <xdr:nvGraphicFramePr>
        <xdr:cNvPr id="6" name="Chart 5">
          <a:extLst>
            <a:ext uri="{FF2B5EF4-FFF2-40B4-BE49-F238E27FC236}">
              <a16:creationId xmlns:a16="http://schemas.microsoft.com/office/drawing/2014/main" id="{845D9914-E9AE-CCF0-EE47-24C178F9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321556</xdr:colOff>
      <xdr:row>0</xdr:row>
      <xdr:rowOff>129396</xdr:rowOff>
    </xdr:from>
    <xdr:to>
      <xdr:col>31</xdr:col>
      <xdr:colOff>553412</xdr:colOff>
      <xdr:row>48</xdr:row>
      <xdr:rowOff>172528</xdr:rowOff>
    </xdr:to>
    <xdr:sp macro="" textlink="">
      <xdr:nvSpPr>
        <xdr:cNvPr id="2" name="Rectangle: Rounded Corners 1">
          <a:extLst>
            <a:ext uri="{FF2B5EF4-FFF2-40B4-BE49-F238E27FC236}">
              <a16:creationId xmlns:a16="http://schemas.microsoft.com/office/drawing/2014/main" id="{A5ECEF4D-EE85-41FB-B27A-7FDA04B817D3}"/>
            </a:ext>
          </a:extLst>
        </xdr:cNvPr>
        <xdr:cNvSpPr/>
      </xdr:nvSpPr>
      <xdr:spPr>
        <a:xfrm>
          <a:off x="321556" y="129396"/>
          <a:ext cx="18951177" cy="9028981"/>
        </a:xfrm>
        <a:prstGeom prst="roundRect">
          <a:avLst>
            <a:gd name="adj" fmla="val 2248"/>
          </a:avLst>
        </a:prstGeom>
        <a:solidFill>
          <a:schemeClr val="bg2"/>
        </a:solidFill>
        <a:ln w="9525" cap="rnd">
          <a:noFill/>
          <a:roun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428410</xdr:colOff>
      <xdr:row>1</xdr:row>
      <xdr:rowOff>115019</xdr:rowOff>
    </xdr:from>
    <xdr:to>
      <xdr:col>2</xdr:col>
      <xdr:colOff>408411</xdr:colOff>
      <xdr:row>48</xdr:row>
      <xdr:rowOff>14653</xdr:rowOff>
    </xdr:to>
    <xdr:sp macro="" textlink="">
      <xdr:nvSpPr>
        <xdr:cNvPr id="3" name="Rectangle: Rounded Corners 2">
          <a:extLst>
            <a:ext uri="{FF2B5EF4-FFF2-40B4-BE49-F238E27FC236}">
              <a16:creationId xmlns:a16="http://schemas.microsoft.com/office/drawing/2014/main" id="{4FECCDCA-CB0F-4CB3-8113-E941770E1714}"/>
            </a:ext>
          </a:extLst>
        </xdr:cNvPr>
        <xdr:cNvSpPr/>
      </xdr:nvSpPr>
      <xdr:spPr>
        <a:xfrm>
          <a:off x="428410" y="301925"/>
          <a:ext cx="1187699" cy="86985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513230</xdr:colOff>
      <xdr:row>3</xdr:row>
      <xdr:rowOff>170673</xdr:rowOff>
    </xdr:from>
    <xdr:to>
      <xdr:col>6</xdr:col>
      <xdr:colOff>130264</xdr:colOff>
      <xdr:row>10</xdr:row>
      <xdr:rowOff>63280</xdr:rowOff>
    </xdr:to>
    <xdr:sp macro="" textlink="">
      <xdr:nvSpPr>
        <xdr:cNvPr id="4" name="Rectangle: Rounded Corners 3">
          <a:extLst>
            <a:ext uri="{FF2B5EF4-FFF2-40B4-BE49-F238E27FC236}">
              <a16:creationId xmlns:a16="http://schemas.microsoft.com/office/drawing/2014/main" id="{F100A148-FBAD-40D6-8980-1A6B0022C3B7}"/>
            </a:ext>
          </a:extLst>
        </xdr:cNvPr>
        <xdr:cNvSpPr/>
      </xdr:nvSpPr>
      <xdr:spPr>
        <a:xfrm>
          <a:off x="1723465" y="708555"/>
          <a:ext cx="2037505" cy="1147666"/>
        </a:xfrm>
        <a:prstGeom prst="roundRect">
          <a:avLst/>
        </a:prstGeom>
        <a:solidFill>
          <a:srgbClr val="176F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251455</xdr:colOff>
      <xdr:row>4</xdr:row>
      <xdr:rowOff>15420</xdr:rowOff>
    </xdr:from>
    <xdr:to>
      <xdr:col>10</xdr:col>
      <xdr:colOff>15236</xdr:colOff>
      <xdr:row>10</xdr:row>
      <xdr:rowOff>55865</xdr:rowOff>
    </xdr:to>
    <xdr:sp macro="" textlink="">
      <xdr:nvSpPr>
        <xdr:cNvPr id="5" name="Rectangle: Rounded Corners 4">
          <a:extLst>
            <a:ext uri="{FF2B5EF4-FFF2-40B4-BE49-F238E27FC236}">
              <a16:creationId xmlns:a16="http://schemas.microsoft.com/office/drawing/2014/main" id="{7C6DCA89-E074-4F50-8053-1221F2D1ADEC}"/>
            </a:ext>
          </a:extLst>
        </xdr:cNvPr>
        <xdr:cNvSpPr/>
      </xdr:nvSpPr>
      <xdr:spPr>
        <a:xfrm>
          <a:off x="3882161" y="732596"/>
          <a:ext cx="2184251" cy="1116210"/>
        </a:xfrm>
        <a:prstGeom prst="roundRect">
          <a:avLst/>
        </a:prstGeom>
        <a:solidFill>
          <a:srgbClr val="176F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120669</xdr:colOff>
      <xdr:row>4</xdr:row>
      <xdr:rowOff>14653</xdr:rowOff>
    </xdr:from>
    <xdr:to>
      <xdr:col>13</xdr:col>
      <xdr:colOff>489566</xdr:colOff>
      <xdr:row>10</xdr:row>
      <xdr:rowOff>45000</xdr:rowOff>
    </xdr:to>
    <xdr:sp macro="" textlink="">
      <xdr:nvSpPr>
        <xdr:cNvPr id="6" name="Rectangle: Rounded Corners 5">
          <a:extLst>
            <a:ext uri="{FF2B5EF4-FFF2-40B4-BE49-F238E27FC236}">
              <a16:creationId xmlns:a16="http://schemas.microsoft.com/office/drawing/2014/main" id="{3054BBF7-A44E-480D-9A98-E53B83D1ACDE}"/>
            </a:ext>
          </a:extLst>
        </xdr:cNvPr>
        <xdr:cNvSpPr/>
      </xdr:nvSpPr>
      <xdr:spPr>
        <a:xfrm>
          <a:off x="6275284" y="718038"/>
          <a:ext cx="2215282" cy="1085424"/>
        </a:xfrm>
        <a:prstGeom prst="roundRect">
          <a:avLst/>
        </a:prstGeom>
        <a:solidFill>
          <a:srgbClr val="176F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592579</xdr:colOff>
      <xdr:row>4</xdr:row>
      <xdr:rowOff>22583</xdr:rowOff>
    </xdr:from>
    <xdr:to>
      <xdr:col>17</xdr:col>
      <xdr:colOff>360841</xdr:colOff>
      <xdr:row>10</xdr:row>
      <xdr:rowOff>39191</xdr:rowOff>
    </xdr:to>
    <xdr:sp macro="" textlink="">
      <xdr:nvSpPr>
        <xdr:cNvPr id="7" name="Rectangle: Rounded Corners 6">
          <a:extLst>
            <a:ext uri="{FF2B5EF4-FFF2-40B4-BE49-F238E27FC236}">
              <a16:creationId xmlns:a16="http://schemas.microsoft.com/office/drawing/2014/main" id="{46DA70B7-1967-441E-87A3-BCF5D5363707}"/>
            </a:ext>
          </a:extLst>
        </xdr:cNvPr>
        <xdr:cNvSpPr/>
      </xdr:nvSpPr>
      <xdr:spPr>
        <a:xfrm>
          <a:off x="8459108" y="739759"/>
          <a:ext cx="2188733" cy="1092373"/>
        </a:xfrm>
        <a:prstGeom prst="roundRect">
          <a:avLst/>
        </a:prstGeom>
        <a:solidFill>
          <a:srgbClr val="176F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460279</xdr:colOff>
      <xdr:row>4</xdr:row>
      <xdr:rowOff>35342</xdr:rowOff>
    </xdr:from>
    <xdr:to>
      <xdr:col>21</xdr:col>
      <xdr:colOff>227967</xdr:colOff>
      <xdr:row>10</xdr:row>
      <xdr:rowOff>49801</xdr:rowOff>
    </xdr:to>
    <xdr:sp macro="" textlink="">
      <xdr:nvSpPr>
        <xdr:cNvPr id="8" name="Rectangle: Rounded Corners 7">
          <a:extLst>
            <a:ext uri="{FF2B5EF4-FFF2-40B4-BE49-F238E27FC236}">
              <a16:creationId xmlns:a16="http://schemas.microsoft.com/office/drawing/2014/main" id="{0DCF7FB6-CCC1-43D7-9161-547BEC33A966}"/>
            </a:ext>
          </a:extLst>
        </xdr:cNvPr>
        <xdr:cNvSpPr/>
      </xdr:nvSpPr>
      <xdr:spPr>
        <a:xfrm>
          <a:off x="10923125" y="738727"/>
          <a:ext cx="2229534" cy="1069536"/>
        </a:xfrm>
        <a:prstGeom prst="roundRect">
          <a:avLst/>
        </a:prstGeom>
        <a:solidFill>
          <a:srgbClr val="176F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526676</xdr:colOff>
      <xdr:row>11</xdr:row>
      <xdr:rowOff>19539</xdr:rowOff>
    </xdr:from>
    <xdr:to>
      <xdr:col>8</xdr:col>
      <xdr:colOff>244229</xdr:colOff>
      <xdr:row>19</xdr:row>
      <xdr:rowOff>67994</xdr:rowOff>
    </xdr:to>
    <xdr:sp macro="" textlink="">
      <xdr:nvSpPr>
        <xdr:cNvPr id="12" name="Rectangle: Rounded Corners 11">
          <a:extLst>
            <a:ext uri="{FF2B5EF4-FFF2-40B4-BE49-F238E27FC236}">
              <a16:creationId xmlns:a16="http://schemas.microsoft.com/office/drawing/2014/main" id="{4FE55EB9-DE1A-49F1-8F59-700FFEFA1EE5}"/>
            </a:ext>
          </a:extLst>
        </xdr:cNvPr>
        <xdr:cNvSpPr/>
      </xdr:nvSpPr>
      <xdr:spPr>
        <a:xfrm>
          <a:off x="1736911" y="1991774"/>
          <a:ext cx="3348259" cy="14828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497196</xdr:colOff>
      <xdr:row>0</xdr:row>
      <xdr:rowOff>135091</xdr:rowOff>
    </xdr:from>
    <xdr:to>
      <xdr:col>19</xdr:col>
      <xdr:colOff>126540</xdr:colOff>
      <xdr:row>3</xdr:row>
      <xdr:rowOff>12757</xdr:rowOff>
    </xdr:to>
    <xdr:sp macro="" textlink="">
      <xdr:nvSpPr>
        <xdr:cNvPr id="24" name="TextBox 23">
          <a:extLst>
            <a:ext uri="{FF2B5EF4-FFF2-40B4-BE49-F238E27FC236}">
              <a16:creationId xmlns:a16="http://schemas.microsoft.com/office/drawing/2014/main" id="{05F5F60F-D718-3C99-C9EB-0DEC9F52F544}"/>
            </a:ext>
          </a:extLst>
        </xdr:cNvPr>
        <xdr:cNvSpPr txBox="1"/>
      </xdr:nvSpPr>
      <xdr:spPr>
        <a:xfrm>
          <a:off x="1707431" y="135091"/>
          <a:ext cx="9916344" cy="415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176F41"/>
              </a:solidFill>
              <a:latin typeface="+mn-lt"/>
            </a:rPr>
            <a:t>Terslu </a:t>
          </a:r>
          <a:r>
            <a:rPr lang="en-US" sz="2800" b="1">
              <a:solidFill>
                <a:srgbClr val="176F41"/>
              </a:solidFill>
              <a:latin typeface="+mn-lt"/>
            </a:rPr>
            <a:t>Superstores</a:t>
          </a:r>
          <a:r>
            <a:rPr lang="en-US" sz="2800" b="1" baseline="0">
              <a:solidFill>
                <a:srgbClr val="176F41"/>
              </a:solidFill>
              <a:latin typeface="+mn-lt"/>
            </a:rPr>
            <a:t> Sales and Profitability Analysis</a:t>
          </a:r>
          <a:endParaRPr lang="en-US" sz="2800" b="1">
            <a:solidFill>
              <a:srgbClr val="176F41"/>
            </a:solidFill>
            <a:latin typeface="+mn-lt"/>
          </a:endParaRPr>
        </a:p>
      </xdr:txBody>
    </xdr:sp>
    <xdr:clientData/>
  </xdr:twoCellAnchor>
  <xdr:twoCellAnchor editAs="oneCell">
    <xdr:from>
      <xdr:col>0</xdr:col>
      <xdr:colOff>531658</xdr:colOff>
      <xdr:row>3</xdr:row>
      <xdr:rowOff>41710</xdr:rowOff>
    </xdr:from>
    <xdr:to>
      <xdr:col>2</xdr:col>
      <xdr:colOff>227108</xdr:colOff>
      <xdr:row>8</xdr:row>
      <xdr:rowOff>56527</xdr:rowOff>
    </xdr:to>
    <xdr:pic>
      <xdr:nvPicPr>
        <xdr:cNvPr id="28" name="Graphic 27" descr="Classroom with solid fill">
          <a:extLst>
            <a:ext uri="{FF2B5EF4-FFF2-40B4-BE49-F238E27FC236}">
              <a16:creationId xmlns:a16="http://schemas.microsoft.com/office/drawing/2014/main" id="{EF6BB1ED-F7B3-737B-EF75-3C3FFB3051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1658" y="579592"/>
          <a:ext cx="905685" cy="911288"/>
        </a:xfrm>
        <a:prstGeom prst="rect">
          <a:avLst/>
        </a:prstGeom>
      </xdr:spPr>
    </xdr:pic>
    <xdr:clientData/>
  </xdr:twoCellAnchor>
  <xdr:twoCellAnchor>
    <xdr:from>
      <xdr:col>0</xdr:col>
      <xdr:colOff>535890</xdr:colOff>
      <xdr:row>8</xdr:row>
      <xdr:rowOff>160493</xdr:rowOff>
    </xdr:from>
    <xdr:to>
      <xdr:col>2</xdr:col>
      <xdr:colOff>349874</xdr:colOff>
      <xdr:row>10</xdr:row>
      <xdr:rowOff>82800</xdr:rowOff>
    </xdr:to>
    <xdr:sp macro="" textlink="">
      <xdr:nvSpPr>
        <xdr:cNvPr id="29" name="TextBox 28">
          <a:extLst>
            <a:ext uri="{FF2B5EF4-FFF2-40B4-BE49-F238E27FC236}">
              <a16:creationId xmlns:a16="http://schemas.microsoft.com/office/drawing/2014/main" id="{BAB00C47-EC5B-4B72-3F43-349027687EF5}"/>
            </a:ext>
          </a:extLst>
        </xdr:cNvPr>
        <xdr:cNvSpPr txBox="1"/>
      </xdr:nvSpPr>
      <xdr:spPr>
        <a:xfrm>
          <a:off x="535890" y="1594846"/>
          <a:ext cx="1024219" cy="280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176F41"/>
              </a:solidFill>
              <a:latin typeface="+mn-lt"/>
            </a:rPr>
            <a:t>Pre</a:t>
          </a:r>
          <a:r>
            <a:rPr lang="en-US" sz="1300" b="1" baseline="0">
              <a:solidFill>
                <a:srgbClr val="176F41"/>
              </a:solidFill>
              <a:latin typeface="+mn-lt"/>
            </a:rPr>
            <a:t> Analysis</a:t>
          </a:r>
          <a:endParaRPr lang="en-US" sz="1300" b="1">
            <a:solidFill>
              <a:srgbClr val="176F41"/>
            </a:solidFill>
            <a:latin typeface="+mn-lt"/>
          </a:endParaRPr>
        </a:p>
      </xdr:txBody>
    </xdr:sp>
    <xdr:clientData/>
  </xdr:twoCellAnchor>
  <xdr:twoCellAnchor editAs="oneCell">
    <xdr:from>
      <xdr:col>0</xdr:col>
      <xdr:colOff>415365</xdr:colOff>
      <xdr:row>11</xdr:row>
      <xdr:rowOff>74706</xdr:rowOff>
    </xdr:from>
    <xdr:to>
      <xdr:col>2</xdr:col>
      <xdr:colOff>39721</xdr:colOff>
      <xdr:row>16</xdr:row>
      <xdr:rowOff>18924</xdr:rowOff>
    </xdr:to>
    <xdr:pic>
      <xdr:nvPicPr>
        <xdr:cNvPr id="31" name="Graphic 30" descr="Person with idea with solid fill">
          <a:extLst>
            <a:ext uri="{FF2B5EF4-FFF2-40B4-BE49-F238E27FC236}">
              <a16:creationId xmlns:a16="http://schemas.microsoft.com/office/drawing/2014/main" id="{97598D85-D2EA-6AD3-806D-F4890F8E65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5365" y="2046941"/>
          <a:ext cx="834591" cy="840689"/>
        </a:xfrm>
        <a:prstGeom prst="rect">
          <a:avLst/>
        </a:prstGeom>
      </xdr:spPr>
    </xdr:pic>
    <xdr:clientData/>
  </xdr:twoCellAnchor>
  <xdr:twoCellAnchor>
    <xdr:from>
      <xdr:col>0</xdr:col>
      <xdr:colOff>457449</xdr:colOff>
      <xdr:row>16</xdr:row>
      <xdr:rowOff>93754</xdr:rowOff>
    </xdr:from>
    <xdr:to>
      <xdr:col>2</xdr:col>
      <xdr:colOff>271433</xdr:colOff>
      <xdr:row>18</xdr:row>
      <xdr:rowOff>17556</xdr:rowOff>
    </xdr:to>
    <xdr:sp macro="" textlink="">
      <xdr:nvSpPr>
        <xdr:cNvPr id="32" name="TextBox 31">
          <a:extLst>
            <a:ext uri="{FF2B5EF4-FFF2-40B4-BE49-F238E27FC236}">
              <a16:creationId xmlns:a16="http://schemas.microsoft.com/office/drawing/2014/main" id="{ED7FD441-3595-31B8-68DF-0A3CE872D78C}"/>
            </a:ext>
          </a:extLst>
        </xdr:cNvPr>
        <xdr:cNvSpPr txBox="1"/>
      </xdr:nvSpPr>
      <xdr:spPr>
        <a:xfrm>
          <a:off x="457449" y="2962460"/>
          <a:ext cx="1024219" cy="282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solidFill>
                <a:srgbClr val="176F41"/>
              </a:solidFill>
              <a:latin typeface="+mn-lt"/>
            </a:rPr>
            <a:t>In- Analysis</a:t>
          </a:r>
          <a:endParaRPr lang="en-US" sz="1300" b="1">
            <a:solidFill>
              <a:srgbClr val="176F41"/>
            </a:solidFill>
            <a:latin typeface="+mn-lt"/>
          </a:endParaRPr>
        </a:p>
      </xdr:txBody>
    </xdr:sp>
    <xdr:clientData/>
  </xdr:twoCellAnchor>
  <xdr:twoCellAnchor editAs="oneCell">
    <xdr:from>
      <xdr:col>0</xdr:col>
      <xdr:colOff>498661</xdr:colOff>
      <xdr:row>18</xdr:row>
      <xdr:rowOff>49057</xdr:rowOff>
    </xdr:from>
    <xdr:to>
      <xdr:col>2</xdr:col>
      <xdr:colOff>160490</xdr:colOff>
      <xdr:row>22</xdr:row>
      <xdr:rowOff>132228</xdr:rowOff>
    </xdr:to>
    <xdr:pic>
      <xdr:nvPicPr>
        <xdr:cNvPr id="34" name="Graphic 33" descr="Magnifying glass with solid fill">
          <a:extLst>
            <a:ext uri="{FF2B5EF4-FFF2-40B4-BE49-F238E27FC236}">
              <a16:creationId xmlns:a16="http://schemas.microsoft.com/office/drawing/2014/main" id="{4933B6B9-A1B2-D50D-27F7-1ACEFD86D8B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8661" y="3276351"/>
          <a:ext cx="872064" cy="800348"/>
        </a:xfrm>
        <a:prstGeom prst="rect">
          <a:avLst/>
        </a:prstGeom>
      </xdr:spPr>
    </xdr:pic>
    <xdr:clientData/>
  </xdr:twoCellAnchor>
  <xdr:twoCellAnchor>
    <xdr:from>
      <xdr:col>0</xdr:col>
      <xdr:colOff>409762</xdr:colOff>
      <xdr:row>22</xdr:row>
      <xdr:rowOff>58145</xdr:rowOff>
    </xdr:from>
    <xdr:to>
      <xdr:col>2</xdr:col>
      <xdr:colOff>338666</xdr:colOff>
      <xdr:row>24</xdr:row>
      <xdr:rowOff>60475</xdr:rowOff>
    </xdr:to>
    <xdr:sp macro="" textlink="">
      <xdr:nvSpPr>
        <xdr:cNvPr id="35" name="TextBox 34">
          <a:extLst>
            <a:ext uri="{FF2B5EF4-FFF2-40B4-BE49-F238E27FC236}">
              <a16:creationId xmlns:a16="http://schemas.microsoft.com/office/drawing/2014/main" id="{B9A82308-BE95-BA54-0994-435A65FE1F73}"/>
            </a:ext>
          </a:extLst>
        </xdr:cNvPr>
        <xdr:cNvSpPr txBox="1"/>
      </xdr:nvSpPr>
      <xdr:spPr>
        <a:xfrm>
          <a:off x="409762" y="4049574"/>
          <a:ext cx="1138428" cy="36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176F41"/>
              </a:solidFill>
              <a:latin typeface="+mn-lt"/>
            </a:rPr>
            <a:t>Observations</a:t>
          </a:r>
        </a:p>
      </xdr:txBody>
    </xdr:sp>
    <xdr:clientData/>
  </xdr:twoCellAnchor>
  <xdr:twoCellAnchor editAs="oneCell">
    <xdr:from>
      <xdr:col>0</xdr:col>
      <xdr:colOff>580632</xdr:colOff>
      <xdr:row>24</xdr:row>
      <xdr:rowOff>172040</xdr:rowOff>
    </xdr:from>
    <xdr:to>
      <xdr:col>2</xdr:col>
      <xdr:colOff>55326</xdr:colOff>
      <xdr:row>29</xdr:row>
      <xdr:rowOff>71045</xdr:rowOff>
    </xdr:to>
    <xdr:pic>
      <xdr:nvPicPr>
        <xdr:cNvPr id="37" name="Graphic 36" descr="Rocket with solid fill">
          <a:extLst>
            <a:ext uri="{FF2B5EF4-FFF2-40B4-BE49-F238E27FC236}">
              <a16:creationId xmlns:a16="http://schemas.microsoft.com/office/drawing/2014/main" id="{0B53D891-2FCB-175F-A14B-A5FA6EF3F5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0632" y="4596556"/>
          <a:ext cx="703726" cy="833070"/>
        </a:xfrm>
        <a:prstGeom prst="rect">
          <a:avLst/>
        </a:prstGeom>
      </xdr:spPr>
    </xdr:pic>
    <xdr:clientData/>
  </xdr:twoCellAnchor>
  <xdr:twoCellAnchor>
    <xdr:from>
      <xdr:col>0</xdr:col>
      <xdr:colOff>384947</xdr:colOff>
      <xdr:row>29</xdr:row>
      <xdr:rowOff>69471</xdr:rowOff>
    </xdr:from>
    <xdr:to>
      <xdr:col>2</xdr:col>
      <xdr:colOff>508000</xdr:colOff>
      <xdr:row>30</xdr:row>
      <xdr:rowOff>181428</xdr:rowOff>
    </xdr:to>
    <xdr:sp macro="" textlink="">
      <xdr:nvSpPr>
        <xdr:cNvPr id="38" name="TextBox 37">
          <a:extLst>
            <a:ext uri="{FF2B5EF4-FFF2-40B4-BE49-F238E27FC236}">
              <a16:creationId xmlns:a16="http://schemas.microsoft.com/office/drawing/2014/main" id="{B7E1C5DC-5978-970B-ECFA-956E585EE1FB}"/>
            </a:ext>
          </a:extLst>
        </xdr:cNvPr>
        <xdr:cNvSpPr txBox="1"/>
      </xdr:nvSpPr>
      <xdr:spPr>
        <a:xfrm>
          <a:off x="384947" y="5342995"/>
          <a:ext cx="1332577" cy="29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176F41"/>
              </a:solidFill>
              <a:latin typeface="+mn-lt"/>
            </a:rPr>
            <a:t>Recomendation</a:t>
          </a:r>
        </a:p>
      </xdr:txBody>
    </xdr:sp>
    <xdr:clientData/>
  </xdr:twoCellAnchor>
  <xdr:twoCellAnchor editAs="oneCell">
    <xdr:from>
      <xdr:col>1</xdr:col>
      <xdr:colOff>167070</xdr:colOff>
      <xdr:row>32</xdr:row>
      <xdr:rowOff>128737</xdr:rowOff>
    </xdr:from>
    <xdr:to>
      <xdr:col>1</xdr:col>
      <xdr:colOff>442452</xdr:colOff>
      <xdr:row>36</xdr:row>
      <xdr:rowOff>167797</xdr:rowOff>
    </xdr:to>
    <xdr:pic>
      <xdr:nvPicPr>
        <xdr:cNvPr id="40" name="Graphic 39" descr="Bar graph with upward trend with solid fill">
          <a:extLst>
            <a:ext uri="{FF2B5EF4-FFF2-40B4-BE49-F238E27FC236}">
              <a16:creationId xmlns:a16="http://schemas.microsoft.com/office/drawing/2014/main" id="{13072658-6C1B-C792-7E54-4268328516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1586" y="6040382"/>
          <a:ext cx="275382" cy="776480"/>
        </a:xfrm>
        <a:prstGeom prst="rect">
          <a:avLst/>
        </a:prstGeom>
      </xdr:spPr>
    </xdr:pic>
    <xdr:clientData/>
  </xdr:twoCellAnchor>
  <xdr:twoCellAnchor editAs="oneCell">
    <xdr:from>
      <xdr:col>0</xdr:col>
      <xdr:colOff>606839</xdr:colOff>
      <xdr:row>40</xdr:row>
      <xdr:rowOff>145102</xdr:rowOff>
    </xdr:from>
    <xdr:to>
      <xdr:col>2</xdr:col>
      <xdr:colOff>1963</xdr:colOff>
      <xdr:row>45</xdr:row>
      <xdr:rowOff>149708</xdr:rowOff>
    </xdr:to>
    <xdr:pic>
      <xdr:nvPicPr>
        <xdr:cNvPr id="42" name="Graphic 41" descr="Document with solid fill">
          <a:extLst>
            <a:ext uri="{FF2B5EF4-FFF2-40B4-BE49-F238E27FC236}">
              <a16:creationId xmlns:a16="http://schemas.microsoft.com/office/drawing/2014/main" id="{FA080736-89EC-867E-5A65-EC718CBA948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6839" y="7208256"/>
          <a:ext cx="626047" cy="883837"/>
        </a:xfrm>
        <a:prstGeom prst="rect">
          <a:avLst/>
        </a:prstGeom>
      </xdr:spPr>
    </xdr:pic>
    <xdr:clientData/>
  </xdr:twoCellAnchor>
  <xdr:twoCellAnchor>
    <xdr:from>
      <xdr:col>0</xdr:col>
      <xdr:colOff>537021</xdr:colOff>
      <xdr:row>37</xdr:row>
      <xdr:rowOff>130565</xdr:rowOff>
    </xdr:from>
    <xdr:to>
      <xdr:col>2</xdr:col>
      <xdr:colOff>351005</xdr:colOff>
      <xdr:row>39</xdr:row>
      <xdr:rowOff>52873</xdr:rowOff>
    </xdr:to>
    <xdr:sp macro="" textlink="">
      <xdr:nvSpPr>
        <xdr:cNvPr id="43" name="TextBox 42">
          <a:extLst>
            <a:ext uri="{FF2B5EF4-FFF2-40B4-BE49-F238E27FC236}">
              <a16:creationId xmlns:a16="http://schemas.microsoft.com/office/drawing/2014/main" id="{69829E40-B1E3-9731-09FA-A64E5DAD89A1}"/>
            </a:ext>
          </a:extLst>
        </xdr:cNvPr>
        <xdr:cNvSpPr txBox="1"/>
      </xdr:nvSpPr>
      <xdr:spPr>
        <a:xfrm>
          <a:off x="537021" y="6666180"/>
          <a:ext cx="1044907" cy="274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176F41"/>
              </a:solidFill>
              <a:latin typeface="+mn-lt"/>
            </a:rPr>
            <a:t>   Insights</a:t>
          </a:r>
        </a:p>
      </xdr:txBody>
    </xdr:sp>
    <xdr:clientData/>
  </xdr:twoCellAnchor>
  <xdr:twoCellAnchor>
    <xdr:from>
      <xdr:col>0</xdr:col>
      <xdr:colOff>470647</xdr:colOff>
      <xdr:row>46</xdr:row>
      <xdr:rowOff>14196</xdr:rowOff>
    </xdr:from>
    <xdr:to>
      <xdr:col>3</xdr:col>
      <xdr:colOff>12095</xdr:colOff>
      <xdr:row>47</xdr:row>
      <xdr:rowOff>120952</xdr:rowOff>
    </xdr:to>
    <xdr:sp macro="" textlink="">
      <xdr:nvSpPr>
        <xdr:cNvPr id="45" name="TextBox 44">
          <a:extLst>
            <a:ext uri="{FF2B5EF4-FFF2-40B4-BE49-F238E27FC236}">
              <a16:creationId xmlns:a16="http://schemas.microsoft.com/office/drawing/2014/main" id="{CD714AB1-8802-62EC-3AFC-7E60A3C52866}"/>
            </a:ext>
          </a:extLst>
        </xdr:cNvPr>
        <xdr:cNvSpPr txBox="1"/>
      </xdr:nvSpPr>
      <xdr:spPr>
        <a:xfrm>
          <a:off x="470647" y="8372006"/>
          <a:ext cx="1355734" cy="288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176F41"/>
              </a:solidFill>
              <a:latin typeface="+mn-lt"/>
            </a:rPr>
            <a:t>Post-Analysis</a:t>
          </a:r>
        </a:p>
      </xdr:txBody>
    </xdr:sp>
    <xdr:clientData/>
  </xdr:twoCellAnchor>
  <xdr:twoCellAnchor>
    <xdr:from>
      <xdr:col>2</xdr:col>
      <xdr:colOff>504517</xdr:colOff>
      <xdr:row>11</xdr:row>
      <xdr:rowOff>43961</xdr:rowOff>
    </xdr:from>
    <xdr:to>
      <xdr:col>12</xdr:col>
      <xdr:colOff>567924</xdr:colOff>
      <xdr:row>28</xdr:row>
      <xdr:rowOff>29308</xdr:rowOff>
    </xdr:to>
    <xdr:graphicFrame macro="">
      <xdr:nvGraphicFramePr>
        <xdr:cNvPr id="46" name="Chart 45">
          <a:extLst>
            <a:ext uri="{FF2B5EF4-FFF2-40B4-BE49-F238E27FC236}">
              <a16:creationId xmlns:a16="http://schemas.microsoft.com/office/drawing/2014/main" id="{4798F9C3-20FD-4358-A1F1-8E81831DB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35169</xdr:colOff>
      <xdr:row>11</xdr:row>
      <xdr:rowOff>12701</xdr:rowOff>
    </xdr:from>
    <xdr:to>
      <xdr:col>20</xdr:col>
      <xdr:colOff>345712</xdr:colOff>
      <xdr:row>28</xdr:row>
      <xdr:rowOff>0</xdr:rowOff>
    </xdr:to>
    <xdr:graphicFrame macro="">
      <xdr:nvGraphicFramePr>
        <xdr:cNvPr id="47" name="Chart 46">
          <a:extLst>
            <a:ext uri="{FF2B5EF4-FFF2-40B4-BE49-F238E27FC236}">
              <a16:creationId xmlns:a16="http://schemas.microsoft.com/office/drawing/2014/main" id="{D2F7E730-F6BE-498C-9AD8-766EE9BD0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59128</xdr:colOff>
      <xdr:row>28</xdr:row>
      <xdr:rowOff>130097</xdr:rowOff>
    </xdr:from>
    <xdr:to>
      <xdr:col>16</xdr:col>
      <xdr:colOff>528484</xdr:colOff>
      <xdr:row>47</xdr:row>
      <xdr:rowOff>145914</xdr:rowOff>
    </xdr:to>
    <xdr:graphicFrame macro="">
      <xdr:nvGraphicFramePr>
        <xdr:cNvPr id="49" name="Chart 48">
          <a:extLst>
            <a:ext uri="{FF2B5EF4-FFF2-40B4-BE49-F238E27FC236}">
              <a16:creationId xmlns:a16="http://schemas.microsoft.com/office/drawing/2014/main" id="{7A79FBA2-3677-40CE-8A5F-9886E2536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49161</xdr:colOff>
      <xdr:row>28</xdr:row>
      <xdr:rowOff>117288</xdr:rowOff>
    </xdr:from>
    <xdr:to>
      <xdr:col>23</xdr:col>
      <xdr:colOff>386863</xdr:colOff>
      <xdr:row>47</xdr:row>
      <xdr:rowOff>127000</xdr:rowOff>
    </xdr:to>
    <xdr:graphicFrame macro="">
      <xdr:nvGraphicFramePr>
        <xdr:cNvPr id="9" name="Chart 8">
          <a:extLst>
            <a:ext uri="{FF2B5EF4-FFF2-40B4-BE49-F238E27FC236}">
              <a16:creationId xmlns:a16="http://schemas.microsoft.com/office/drawing/2014/main" id="{EA559F5C-A672-4920-842F-EE6DE9F6A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21</xdr:col>
      <xdr:colOff>179917</xdr:colOff>
      <xdr:row>22</xdr:row>
      <xdr:rowOff>63500</xdr:rowOff>
    </xdr:from>
    <xdr:ext cx="184731" cy="264560"/>
    <xdr:sp macro="" textlink="">
      <xdr:nvSpPr>
        <xdr:cNvPr id="39" name="TextBox 38">
          <a:extLst>
            <a:ext uri="{FF2B5EF4-FFF2-40B4-BE49-F238E27FC236}">
              <a16:creationId xmlns:a16="http://schemas.microsoft.com/office/drawing/2014/main" id="{35706E9A-695A-32AE-E53B-A9E17CA98415}"/>
            </a:ext>
          </a:extLst>
        </xdr:cNvPr>
        <xdr:cNvSpPr txBox="1"/>
      </xdr:nvSpPr>
      <xdr:spPr>
        <a:xfrm>
          <a:off x="13070417" y="4021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23</xdr:col>
      <xdr:colOff>468923</xdr:colOff>
      <xdr:row>28</xdr:row>
      <xdr:rowOff>125506</xdr:rowOff>
    </xdr:from>
    <xdr:to>
      <xdr:col>31</xdr:col>
      <xdr:colOff>368710</xdr:colOff>
      <xdr:row>47</xdr:row>
      <xdr:rowOff>100106</xdr:rowOff>
    </xdr:to>
    <xdr:sp macro="" textlink="">
      <xdr:nvSpPr>
        <xdr:cNvPr id="15" name="Rectangle: Rounded Corners 14">
          <a:extLst>
            <a:ext uri="{FF2B5EF4-FFF2-40B4-BE49-F238E27FC236}">
              <a16:creationId xmlns:a16="http://schemas.microsoft.com/office/drawing/2014/main" id="{1DB6AA98-C63E-647F-6BD4-8BE1B431586D}"/>
            </a:ext>
          </a:extLst>
        </xdr:cNvPr>
        <xdr:cNvSpPr/>
      </xdr:nvSpPr>
      <xdr:spPr>
        <a:xfrm>
          <a:off x="14602794" y="5287441"/>
          <a:ext cx="4815916" cy="3489633"/>
        </a:xfrm>
        <a:prstGeom prst="roundRect">
          <a:avLst>
            <a:gd name="adj" fmla="val 323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551233</xdr:colOff>
      <xdr:row>29</xdr:row>
      <xdr:rowOff>50800</xdr:rowOff>
    </xdr:from>
    <xdr:to>
      <xdr:col>30</xdr:col>
      <xdr:colOff>241300</xdr:colOff>
      <xdr:row>47</xdr:row>
      <xdr:rowOff>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CFEC239A-96C2-4DCB-9830-E225814BAE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572033" y="5369560"/>
              <a:ext cx="3957267" cy="3241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2</xdr:col>
      <xdr:colOff>512885</xdr:colOff>
      <xdr:row>28</xdr:row>
      <xdr:rowOff>150598</xdr:rowOff>
    </xdr:from>
    <xdr:to>
      <xdr:col>8</xdr:col>
      <xdr:colOff>608248</xdr:colOff>
      <xdr:row>48</xdr:row>
      <xdr:rowOff>3001</xdr:rowOff>
    </xdr:to>
    <xdr:sp macro="" textlink="">
      <xdr:nvSpPr>
        <xdr:cNvPr id="20" name="Rectangle: Rounded Corners 19">
          <a:extLst>
            <a:ext uri="{FF2B5EF4-FFF2-40B4-BE49-F238E27FC236}">
              <a16:creationId xmlns:a16="http://schemas.microsoft.com/office/drawing/2014/main" id="{2496674B-253F-1374-E8CE-EB52FA6C455F}"/>
            </a:ext>
          </a:extLst>
        </xdr:cNvPr>
        <xdr:cNvSpPr/>
      </xdr:nvSpPr>
      <xdr:spPr>
        <a:xfrm>
          <a:off x="1743808" y="5074290"/>
          <a:ext cx="3788132" cy="3398634"/>
        </a:xfrm>
        <a:prstGeom prst="roundRect">
          <a:avLst>
            <a:gd name="adj" fmla="val 3535"/>
          </a:avLst>
        </a:prstGeom>
        <a:solidFill>
          <a:schemeClr val="bg1"/>
        </a:solid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14</xdr:col>
      <xdr:colOff>540728</xdr:colOff>
      <xdr:row>3</xdr:row>
      <xdr:rowOff>106962</xdr:rowOff>
    </xdr:from>
    <xdr:to>
      <xdr:col>17</xdr:col>
      <xdr:colOff>286372</xdr:colOff>
      <xdr:row>7</xdr:row>
      <xdr:rowOff>64628</xdr:rowOff>
    </xdr:to>
    <xdr:graphicFrame macro="">
      <xdr:nvGraphicFramePr>
        <xdr:cNvPr id="54" name="Chart 53">
          <a:extLst>
            <a:ext uri="{FF2B5EF4-FFF2-40B4-BE49-F238E27FC236}">
              <a16:creationId xmlns:a16="http://schemas.microsoft.com/office/drawing/2014/main" id="{C85A1D7B-ED1C-8B3E-7721-9720C5BC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53592</xdr:colOff>
      <xdr:row>3</xdr:row>
      <xdr:rowOff>117270</xdr:rowOff>
    </xdr:from>
    <xdr:to>
      <xdr:col>13</xdr:col>
      <xdr:colOff>413426</xdr:colOff>
      <xdr:row>7</xdr:row>
      <xdr:rowOff>74936</xdr:rowOff>
    </xdr:to>
    <xdr:graphicFrame macro="">
      <xdr:nvGraphicFramePr>
        <xdr:cNvPr id="55" name="Chart 54">
          <a:extLst>
            <a:ext uri="{FF2B5EF4-FFF2-40B4-BE49-F238E27FC236}">
              <a16:creationId xmlns:a16="http://schemas.microsoft.com/office/drawing/2014/main" id="{017BA0AC-226E-D9FD-4322-065ED249A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202967</xdr:colOff>
      <xdr:row>3</xdr:row>
      <xdr:rowOff>145427</xdr:rowOff>
    </xdr:from>
    <xdr:to>
      <xdr:col>9</xdr:col>
      <xdr:colOff>563156</xdr:colOff>
      <xdr:row>7</xdr:row>
      <xdr:rowOff>103093</xdr:rowOff>
    </xdr:to>
    <xdr:graphicFrame macro="">
      <xdr:nvGraphicFramePr>
        <xdr:cNvPr id="56" name="Chart 55">
          <a:extLst>
            <a:ext uri="{FF2B5EF4-FFF2-40B4-BE49-F238E27FC236}">
              <a16:creationId xmlns:a16="http://schemas.microsoft.com/office/drawing/2014/main" id="{D037BB45-3B6C-2E55-92F5-5696F743D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289554</xdr:colOff>
      <xdr:row>3</xdr:row>
      <xdr:rowOff>109016</xdr:rowOff>
    </xdr:from>
    <xdr:to>
      <xdr:col>6</xdr:col>
      <xdr:colOff>35554</xdr:colOff>
      <xdr:row>7</xdr:row>
      <xdr:rowOff>68818</xdr:rowOff>
    </xdr:to>
    <xdr:graphicFrame macro="">
      <xdr:nvGraphicFramePr>
        <xdr:cNvPr id="57" name="Chart 56">
          <a:extLst>
            <a:ext uri="{FF2B5EF4-FFF2-40B4-BE49-F238E27FC236}">
              <a16:creationId xmlns:a16="http://schemas.microsoft.com/office/drawing/2014/main" id="{70793FBE-E331-8336-375C-F39EA554A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394038</xdr:colOff>
      <xdr:row>3</xdr:row>
      <xdr:rowOff>129188</xdr:rowOff>
    </xdr:from>
    <xdr:to>
      <xdr:col>21</xdr:col>
      <xdr:colOff>149110</xdr:colOff>
      <xdr:row>7</xdr:row>
      <xdr:rowOff>86854</xdr:rowOff>
    </xdr:to>
    <xdr:graphicFrame macro="">
      <xdr:nvGraphicFramePr>
        <xdr:cNvPr id="58" name="Chart 57">
          <a:extLst>
            <a:ext uri="{FF2B5EF4-FFF2-40B4-BE49-F238E27FC236}">
              <a16:creationId xmlns:a16="http://schemas.microsoft.com/office/drawing/2014/main" id="{8C372352-CD3F-960A-4B91-F2F19BF79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3</xdr:col>
      <xdr:colOff>155602</xdr:colOff>
      <xdr:row>6</xdr:row>
      <xdr:rowOff>145053</xdr:rowOff>
    </xdr:from>
    <xdr:ext cx="2197100" cy="258235"/>
    <xdr:sp macro="" textlink="">
      <xdr:nvSpPr>
        <xdr:cNvPr id="59" name="TextBox 58">
          <a:extLst>
            <a:ext uri="{FF2B5EF4-FFF2-40B4-BE49-F238E27FC236}">
              <a16:creationId xmlns:a16="http://schemas.microsoft.com/office/drawing/2014/main" id="{5978D95E-ECA8-E16D-72B9-73BEC89599AB}"/>
            </a:ext>
          </a:extLst>
        </xdr:cNvPr>
        <xdr:cNvSpPr txBox="1"/>
      </xdr:nvSpPr>
      <xdr:spPr>
        <a:xfrm>
          <a:off x="1969888" y="1233624"/>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0">
              <a:solidFill>
                <a:schemeClr val="bg1"/>
              </a:solidFill>
            </a:rPr>
            <a:t>Best</a:t>
          </a:r>
          <a:r>
            <a:rPr lang="en-US" sz="1300" b="0" baseline="0">
              <a:solidFill>
                <a:schemeClr val="bg1"/>
              </a:solidFill>
            </a:rPr>
            <a:t> Transaction Range</a:t>
          </a:r>
          <a:endParaRPr lang="en-US" sz="1300" b="0">
            <a:solidFill>
              <a:schemeClr val="bg1"/>
            </a:solidFill>
          </a:endParaRPr>
        </a:p>
      </xdr:txBody>
    </xdr:sp>
    <xdr:clientData/>
  </xdr:oneCellAnchor>
  <xdr:oneCellAnchor>
    <xdr:from>
      <xdr:col>4</xdr:col>
      <xdr:colOff>53290</xdr:colOff>
      <xdr:row>8</xdr:row>
      <xdr:rowOff>13572</xdr:rowOff>
    </xdr:from>
    <xdr:ext cx="2197100" cy="258235"/>
    <xdr:sp macro="" textlink="">
      <xdr:nvSpPr>
        <xdr:cNvPr id="60" name="TextBox 59">
          <a:extLst>
            <a:ext uri="{FF2B5EF4-FFF2-40B4-BE49-F238E27FC236}">
              <a16:creationId xmlns:a16="http://schemas.microsoft.com/office/drawing/2014/main" id="{17DA189E-9A19-AC87-37A4-F135DDD00364}"/>
            </a:ext>
          </a:extLst>
        </xdr:cNvPr>
        <xdr:cNvSpPr txBox="1"/>
      </xdr:nvSpPr>
      <xdr:spPr>
        <a:xfrm>
          <a:off x="2473761" y="1447925"/>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0</a:t>
          </a:r>
          <a:r>
            <a:rPr lang="en-US" sz="1600" b="1" baseline="0">
              <a:solidFill>
                <a:schemeClr val="bg1"/>
              </a:solidFill>
            </a:rPr>
            <a:t> - 1000</a:t>
          </a:r>
          <a:endParaRPr lang="en-US" sz="1600" b="1">
            <a:solidFill>
              <a:schemeClr val="bg1"/>
            </a:solidFill>
          </a:endParaRPr>
        </a:p>
      </xdr:txBody>
    </xdr:sp>
    <xdr:clientData/>
  </xdr:oneCellAnchor>
  <xdr:oneCellAnchor>
    <xdr:from>
      <xdr:col>18</xdr:col>
      <xdr:colOff>382637</xdr:colOff>
      <xdr:row>6</xdr:row>
      <xdr:rowOff>135448</xdr:rowOff>
    </xdr:from>
    <xdr:ext cx="2197100" cy="258235"/>
    <xdr:sp macro="" textlink="">
      <xdr:nvSpPr>
        <xdr:cNvPr id="61" name="TextBox 60">
          <a:extLst>
            <a:ext uri="{FF2B5EF4-FFF2-40B4-BE49-F238E27FC236}">
              <a16:creationId xmlns:a16="http://schemas.microsoft.com/office/drawing/2014/main" id="{5F6D3243-246E-FA8A-4DF5-6CFC8EBAE009}"/>
            </a:ext>
          </a:extLst>
        </xdr:cNvPr>
        <xdr:cNvSpPr txBox="1"/>
      </xdr:nvSpPr>
      <xdr:spPr>
        <a:xfrm>
          <a:off x="11268351" y="1224019"/>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0">
              <a:solidFill>
                <a:schemeClr val="bg1"/>
              </a:solidFill>
            </a:rPr>
            <a:t>Sum</a:t>
          </a:r>
          <a:r>
            <a:rPr lang="en-US" sz="1300" b="0" baseline="0">
              <a:solidFill>
                <a:schemeClr val="bg1"/>
              </a:solidFill>
            </a:rPr>
            <a:t> of Revenue</a:t>
          </a:r>
          <a:endParaRPr lang="en-US" sz="1300" b="0">
            <a:solidFill>
              <a:schemeClr val="bg1"/>
            </a:solidFill>
          </a:endParaRPr>
        </a:p>
      </xdr:txBody>
    </xdr:sp>
    <xdr:clientData/>
  </xdr:oneCellAnchor>
  <xdr:oneCellAnchor>
    <xdr:from>
      <xdr:col>10</xdr:col>
      <xdr:colOff>163483</xdr:colOff>
      <xdr:row>6</xdr:row>
      <xdr:rowOff>175592</xdr:rowOff>
    </xdr:from>
    <xdr:ext cx="2197100" cy="258235"/>
    <xdr:sp macro="" textlink="">
      <xdr:nvSpPr>
        <xdr:cNvPr id="62" name="TextBox 61">
          <a:extLst>
            <a:ext uri="{FF2B5EF4-FFF2-40B4-BE49-F238E27FC236}">
              <a16:creationId xmlns:a16="http://schemas.microsoft.com/office/drawing/2014/main" id="{837685C3-794A-2043-9EE0-B118F557C50D}"/>
            </a:ext>
          </a:extLst>
        </xdr:cNvPr>
        <xdr:cNvSpPr txBox="1"/>
      </xdr:nvSpPr>
      <xdr:spPr>
        <a:xfrm>
          <a:off x="6211102" y="1264163"/>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0">
              <a:solidFill>
                <a:schemeClr val="bg1"/>
              </a:solidFill>
            </a:rPr>
            <a:t>Top</a:t>
          </a:r>
          <a:r>
            <a:rPr lang="en-US" sz="1300" b="0" baseline="0">
              <a:solidFill>
                <a:schemeClr val="bg1"/>
              </a:solidFill>
            </a:rPr>
            <a:t> Performing Salesperson</a:t>
          </a:r>
          <a:endParaRPr lang="en-US" sz="1300" b="0">
            <a:solidFill>
              <a:schemeClr val="bg1"/>
            </a:solidFill>
          </a:endParaRPr>
        </a:p>
      </xdr:txBody>
    </xdr:sp>
    <xdr:clientData/>
  </xdr:oneCellAnchor>
  <xdr:oneCellAnchor>
    <xdr:from>
      <xdr:col>14</xdr:col>
      <xdr:colOff>462342</xdr:colOff>
      <xdr:row>6</xdr:row>
      <xdr:rowOff>151399</xdr:rowOff>
    </xdr:from>
    <xdr:ext cx="2197100" cy="258235"/>
    <xdr:sp macro="" textlink="">
      <xdr:nvSpPr>
        <xdr:cNvPr id="63" name="TextBox 62">
          <a:extLst>
            <a:ext uri="{FF2B5EF4-FFF2-40B4-BE49-F238E27FC236}">
              <a16:creationId xmlns:a16="http://schemas.microsoft.com/office/drawing/2014/main" id="{DC21E7D1-70A4-F8FE-D6C8-161F6B59CD3F}"/>
            </a:ext>
          </a:extLst>
        </xdr:cNvPr>
        <xdr:cNvSpPr txBox="1"/>
      </xdr:nvSpPr>
      <xdr:spPr>
        <a:xfrm>
          <a:off x="8929009" y="1239970"/>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0">
              <a:solidFill>
                <a:schemeClr val="bg1"/>
              </a:solidFill>
            </a:rPr>
            <a:t>Peak</a:t>
          </a:r>
          <a:r>
            <a:rPr lang="en-US" sz="1300" b="0" baseline="0">
              <a:solidFill>
                <a:schemeClr val="bg1"/>
              </a:solidFill>
            </a:rPr>
            <a:t> Month For 14"</a:t>
          </a:r>
          <a:endParaRPr lang="en-US" sz="1300" b="0">
            <a:solidFill>
              <a:schemeClr val="bg1"/>
            </a:solidFill>
          </a:endParaRPr>
        </a:p>
      </xdr:txBody>
    </xdr:sp>
    <xdr:clientData/>
  </xdr:oneCellAnchor>
  <xdr:oneCellAnchor>
    <xdr:from>
      <xdr:col>19</xdr:col>
      <xdr:colOff>49307</xdr:colOff>
      <xdr:row>7</xdr:row>
      <xdr:rowOff>131480</xdr:rowOff>
    </xdr:from>
    <xdr:ext cx="2197100" cy="258235"/>
    <xdr:sp macro="" textlink="">
      <xdr:nvSpPr>
        <xdr:cNvPr id="65" name="TextBox 64">
          <a:extLst>
            <a:ext uri="{FF2B5EF4-FFF2-40B4-BE49-F238E27FC236}">
              <a16:creationId xmlns:a16="http://schemas.microsoft.com/office/drawing/2014/main" id="{C356215A-03F1-4ECA-9842-F394118518C4}"/>
            </a:ext>
          </a:extLst>
        </xdr:cNvPr>
        <xdr:cNvSpPr txBox="1"/>
      </xdr:nvSpPr>
      <xdr:spPr>
        <a:xfrm>
          <a:off x="11546542" y="1386539"/>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$435K</a:t>
          </a:r>
        </a:p>
      </xdr:txBody>
    </xdr:sp>
    <xdr:clientData/>
  </xdr:oneCellAnchor>
  <xdr:oneCellAnchor>
    <xdr:from>
      <xdr:col>11</xdr:col>
      <xdr:colOff>176097</xdr:colOff>
      <xdr:row>7</xdr:row>
      <xdr:rowOff>146764</xdr:rowOff>
    </xdr:from>
    <xdr:ext cx="2197100" cy="258235"/>
    <xdr:sp macro="" textlink="">
      <xdr:nvSpPr>
        <xdr:cNvPr id="66" name="TextBox 65">
          <a:extLst>
            <a:ext uri="{FF2B5EF4-FFF2-40B4-BE49-F238E27FC236}">
              <a16:creationId xmlns:a16="http://schemas.microsoft.com/office/drawing/2014/main" id="{7AA551DC-E255-D501-4EFA-6D9142AF085D}"/>
            </a:ext>
          </a:extLst>
        </xdr:cNvPr>
        <xdr:cNvSpPr txBox="1"/>
      </xdr:nvSpPr>
      <xdr:spPr>
        <a:xfrm>
          <a:off x="6832391" y="1401823"/>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Nancy</a:t>
          </a:r>
        </a:p>
      </xdr:txBody>
    </xdr:sp>
    <xdr:clientData/>
  </xdr:oneCellAnchor>
  <xdr:oneCellAnchor>
    <xdr:from>
      <xdr:col>15</xdr:col>
      <xdr:colOff>86908</xdr:colOff>
      <xdr:row>7</xdr:row>
      <xdr:rowOff>171695</xdr:rowOff>
    </xdr:from>
    <xdr:ext cx="2197100" cy="258235"/>
    <xdr:sp macro="" textlink="">
      <xdr:nvSpPr>
        <xdr:cNvPr id="67" name="TextBox 66">
          <a:extLst>
            <a:ext uri="{FF2B5EF4-FFF2-40B4-BE49-F238E27FC236}">
              <a16:creationId xmlns:a16="http://schemas.microsoft.com/office/drawing/2014/main" id="{4BAD9324-25F6-16C1-537A-F309B19448B5}"/>
            </a:ext>
          </a:extLst>
        </xdr:cNvPr>
        <xdr:cNvSpPr txBox="1"/>
      </xdr:nvSpPr>
      <xdr:spPr>
        <a:xfrm>
          <a:off x="9163673" y="1426754"/>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December</a:t>
          </a:r>
        </a:p>
      </xdr:txBody>
    </xdr:sp>
    <xdr:clientData/>
  </xdr:oneCellAnchor>
  <xdr:oneCellAnchor>
    <xdr:from>
      <xdr:col>6</xdr:col>
      <xdr:colOff>449198</xdr:colOff>
      <xdr:row>6</xdr:row>
      <xdr:rowOff>149905</xdr:rowOff>
    </xdr:from>
    <xdr:ext cx="2197100" cy="258235"/>
    <xdr:sp macro="" textlink="">
      <xdr:nvSpPr>
        <xdr:cNvPr id="17" name="TextBox 16">
          <a:extLst>
            <a:ext uri="{FF2B5EF4-FFF2-40B4-BE49-F238E27FC236}">
              <a16:creationId xmlns:a16="http://schemas.microsoft.com/office/drawing/2014/main" id="{D4120FD5-F798-2204-AFC0-99563D21D9AF}"/>
            </a:ext>
          </a:extLst>
        </xdr:cNvPr>
        <xdr:cNvSpPr txBox="1"/>
      </xdr:nvSpPr>
      <xdr:spPr>
        <a:xfrm>
          <a:off x="4077769" y="1238476"/>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0">
              <a:solidFill>
                <a:schemeClr val="bg1"/>
              </a:solidFill>
            </a:rPr>
            <a:t>Regional</a:t>
          </a:r>
          <a:r>
            <a:rPr lang="en-US" sz="1300" b="0" baseline="0">
              <a:solidFill>
                <a:schemeClr val="bg1"/>
              </a:solidFill>
            </a:rPr>
            <a:t> Lead By Revenue</a:t>
          </a:r>
          <a:endParaRPr lang="en-US" sz="1300" b="0">
            <a:solidFill>
              <a:schemeClr val="bg1"/>
            </a:solidFill>
          </a:endParaRPr>
        </a:p>
      </xdr:txBody>
    </xdr:sp>
    <xdr:clientData/>
  </xdr:oneCellAnchor>
  <xdr:oneCellAnchor>
    <xdr:from>
      <xdr:col>7</xdr:col>
      <xdr:colOff>227489</xdr:colOff>
      <xdr:row>7</xdr:row>
      <xdr:rowOff>163153</xdr:rowOff>
    </xdr:from>
    <xdr:ext cx="2197100" cy="258235"/>
    <xdr:sp macro="" textlink="">
      <xdr:nvSpPr>
        <xdr:cNvPr id="18" name="TextBox 17">
          <a:extLst>
            <a:ext uri="{FF2B5EF4-FFF2-40B4-BE49-F238E27FC236}">
              <a16:creationId xmlns:a16="http://schemas.microsoft.com/office/drawing/2014/main" id="{B1DC26FE-843F-5D2A-7B3A-540FDF368F69}"/>
            </a:ext>
          </a:extLst>
        </xdr:cNvPr>
        <xdr:cNvSpPr txBox="1"/>
      </xdr:nvSpPr>
      <xdr:spPr>
        <a:xfrm>
          <a:off x="4463313" y="1418212"/>
          <a:ext cx="2197100" cy="2582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New</a:t>
          </a:r>
          <a:r>
            <a:rPr lang="en-US" sz="1600" b="1" baseline="0">
              <a:solidFill>
                <a:schemeClr val="bg1"/>
              </a:solidFill>
            </a:rPr>
            <a:t> York</a:t>
          </a:r>
          <a:endParaRPr lang="en-US" sz="1600" b="1">
            <a:solidFill>
              <a:schemeClr val="bg1"/>
            </a:solidFill>
          </a:endParaRPr>
        </a:p>
      </xdr:txBody>
    </xdr:sp>
    <xdr:clientData/>
  </xdr:oneCellAnchor>
  <xdr:twoCellAnchor>
    <xdr:from>
      <xdr:col>21</xdr:col>
      <xdr:colOff>362857</xdr:colOff>
      <xdr:row>4</xdr:row>
      <xdr:rowOff>25034</xdr:rowOff>
    </xdr:from>
    <xdr:to>
      <xdr:col>31</xdr:col>
      <xdr:colOff>351693</xdr:colOff>
      <xdr:row>10</xdr:row>
      <xdr:rowOff>14652</xdr:rowOff>
    </xdr:to>
    <xdr:sp macro="" textlink="">
      <xdr:nvSpPr>
        <xdr:cNvPr id="73" name="Rectangle: Rounded Corners 72">
          <a:extLst>
            <a:ext uri="{FF2B5EF4-FFF2-40B4-BE49-F238E27FC236}">
              <a16:creationId xmlns:a16="http://schemas.microsoft.com/office/drawing/2014/main" id="{F6EF8AF7-98EB-4F04-B42E-D71862DDFB7B}"/>
            </a:ext>
          </a:extLst>
        </xdr:cNvPr>
        <xdr:cNvSpPr/>
      </xdr:nvSpPr>
      <xdr:spPr>
        <a:xfrm>
          <a:off x="13062857" y="750748"/>
          <a:ext cx="6036455" cy="107819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241300</xdr:colOff>
      <xdr:row>52</xdr:row>
      <xdr:rowOff>50800</xdr:rowOff>
    </xdr:from>
    <xdr:to>
      <xdr:col>6</xdr:col>
      <xdr:colOff>546100</xdr:colOff>
      <xdr:row>57</xdr:row>
      <xdr:rowOff>76200</xdr:rowOff>
    </xdr:to>
    <xdr:cxnSp macro="">
      <xdr:nvCxnSpPr>
        <xdr:cNvPr id="75" name="Straight Arrow Connector 74">
          <a:extLst>
            <a:ext uri="{FF2B5EF4-FFF2-40B4-BE49-F238E27FC236}">
              <a16:creationId xmlns:a16="http://schemas.microsoft.com/office/drawing/2014/main" id="{CF079BC3-6A71-A47D-8A2B-845E287BFCA1}"/>
            </a:ext>
          </a:extLst>
        </xdr:cNvPr>
        <xdr:cNvCxnSpPr/>
      </xdr:nvCxnSpPr>
      <xdr:spPr>
        <a:xfrm>
          <a:off x="3289300" y="9296400"/>
          <a:ext cx="914400" cy="914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529410</xdr:colOff>
      <xdr:row>7</xdr:row>
      <xdr:rowOff>103476</xdr:rowOff>
    </xdr:from>
    <xdr:to>
      <xdr:col>31</xdr:col>
      <xdr:colOff>219588</xdr:colOff>
      <xdr:row>9</xdr:row>
      <xdr:rowOff>94338</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D48D1F08-C7D8-004E-59CE-DB60C7CC56C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236881" y="1358535"/>
              <a:ext cx="5741354" cy="34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520117</xdr:colOff>
      <xdr:row>4</xdr:row>
      <xdr:rowOff>109437</xdr:rowOff>
    </xdr:from>
    <xdr:to>
      <xdr:col>31</xdr:col>
      <xdr:colOff>252013</xdr:colOff>
      <xdr:row>6</xdr:row>
      <xdr:rowOff>137019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25331F07-7C9E-3132-E7E5-61B039B157A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227588" y="826613"/>
              <a:ext cx="5783072" cy="386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16584</xdr:colOff>
      <xdr:row>30</xdr:row>
      <xdr:rowOff>79807</xdr:rowOff>
    </xdr:from>
    <xdr:to>
      <xdr:col>8</xdr:col>
      <xdr:colOff>570406</xdr:colOff>
      <xdr:row>46</xdr:row>
      <xdr:rowOff>172121</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25341508-AE37-49F5-9B67-0E1AF2FCD0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845384" y="5581447"/>
              <a:ext cx="3601822" cy="30183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23</xdr:col>
      <xdr:colOff>513568</xdr:colOff>
      <xdr:row>28</xdr:row>
      <xdr:rowOff>172563</xdr:rowOff>
    </xdr:from>
    <xdr:ext cx="3648124" cy="354975"/>
    <xdr:sp macro="" textlink="">
      <xdr:nvSpPr>
        <xdr:cNvPr id="41" name="TextBox 40">
          <a:extLst>
            <a:ext uri="{FF2B5EF4-FFF2-40B4-BE49-F238E27FC236}">
              <a16:creationId xmlns:a16="http://schemas.microsoft.com/office/drawing/2014/main" id="{5F9C38A2-7F5E-B3CC-1BB1-6D330091C779}"/>
            </a:ext>
          </a:extLst>
        </xdr:cNvPr>
        <xdr:cNvSpPr txBox="1"/>
      </xdr:nvSpPr>
      <xdr:spPr>
        <a:xfrm>
          <a:off x="14534368" y="5424501"/>
          <a:ext cx="3648124" cy="354975"/>
        </a:xfrm>
        <a:prstGeom prst="rect">
          <a:avLst/>
        </a:prstGeom>
        <a:noFill/>
        <a:ln cap="rnd">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900" b="1">
              <a:solidFill>
                <a:srgbClr val="176F41"/>
              </a:solidFill>
            </a:rPr>
            <a:t>Top</a:t>
          </a:r>
          <a:r>
            <a:rPr lang="en-US" sz="1900" b="1" baseline="0">
              <a:solidFill>
                <a:srgbClr val="176F41"/>
              </a:solidFill>
            </a:rPr>
            <a:t> 6 ship Cities </a:t>
          </a:r>
          <a:r>
            <a:rPr lang="en-US" sz="1600" b="1" baseline="0">
              <a:solidFill>
                <a:srgbClr val="176F41"/>
              </a:solidFill>
            </a:rPr>
            <a:t>by Revenue</a:t>
          </a:r>
          <a:endParaRPr lang="en-US" sz="1600" b="1">
            <a:solidFill>
              <a:srgbClr val="176F41"/>
            </a:solidFill>
          </a:endParaRPr>
        </a:p>
      </xdr:txBody>
    </xdr:sp>
    <xdr:clientData/>
  </xdr:oneCellAnchor>
  <xdr:twoCellAnchor>
    <xdr:from>
      <xdr:col>3</xdr:col>
      <xdr:colOff>560</xdr:colOff>
      <xdr:row>28</xdr:row>
      <xdr:rowOff>190501</xdr:rowOff>
    </xdr:from>
    <xdr:to>
      <xdr:col>8</xdr:col>
      <xdr:colOff>351692</xdr:colOff>
      <xdr:row>31</xdr:row>
      <xdr:rowOff>0</xdr:rowOff>
    </xdr:to>
    <xdr:sp macro="" textlink="">
      <xdr:nvSpPr>
        <xdr:cNvPr id="52" name="TextBox 51">
          <a:extLst>
            <a:ext uri="{FF2B5EF4-FFF2-40B4-BE49-F238E27FC236}">
              <a16:creationId xmlns:a16="http://schemas.microsoft.com/office/drawing/2014/main" id="{D8DFA07B-0DB5-AB9E-B5B6-3AD12C76793F}"/>
            </a:ext>
          </a:extLst>
        </xdr:cNvPr>
        <xdr:cNvSpPr txBox="1"/>
      </xdr:nvSpPr>
      <xdr:spPr>
        <a:xfrm>
          <a:off x="1829360" y="5442439"/>
          <a:ext cx="3399132" cy="3839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solidFill>
                <a:srgbClr val="176F41"/>
              </a:solidFill>
            </a:rPr>
            <a:t>State Performance </a:t>
          </a:r>
          <a:r>
            <a:rPr lang="en-US" sz="1600" b="1">
              <a:solidFill>
                <a:srgbClr val="176F41"/>
              </a:solidFill>
            </a:rPr>
            <a:t>by Revenue</a:t>
          </a:r>
        </a:p>
      </xdr:txBody>
    </xdr:sp>
    <xdr:clientData/>
  </xdr:twoCellAnchor>
  <xdr:twoCellAnchor>
    <xdr:from>
      <xdr:col>20</xdr:col>
      <xdr:colOff>433754</xdr:colOff>
      <xdr:row>11</xdr:row>
      <xdr:rowOff>11205</xdr:rowOff>
    </xdr:from>
    <xdr:to>
      <xdr:col>31</xdr:col>
      <xdr:colOff>387722</xdr:colOff>
      <xdr:row>28</xdr:row>
      <xdr:rowOff>11205</xdr:rowOff>
    </xdr:to>
    <xdr:graphicFrame macro="">
      <xdr:nvGraphicFramePr>
        <xdr:cNvPr id="10" name="Chart 9">
          <a:extLst>
            <a:ext uri="{FF2B5EF4-FFF2-40B4-BE49-F238E27FC236}">
              <a16:creationId xmlns:a16="http://schemas.microsoft.com/office/drawing/2014/main" id="{257F1DFC-981F-4727-89F3-4826710AE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26</xdr:col>
      <xdr:colOff>597877</xdr:colOff>
      <xdr:row>47</xdr:row>
      <xdr:rowOff>128954</xdr:rowOff>
    </xdr:from>
    <xdr:to>
      <xdr:col>29</xdr:col>
      <xdr:colOff>246185</xdr:colOff>
      <xdr:row>48</xdr:row>
      <xdr:rowOff>128954</xdr:rowOff>
    </xdr:to>
    <xdr:sp macro="" textlink="">
      <xdr:nvSpPr>
        <xdr:cNvPr id="44" name="TextBox 43">
          <a:extLst>
            <a:ext uri="{FF2B5EF4-FFF2-40B4-BE49-F238E27FC236}">
              <a16:creationId xmlns:a16="http://schemas.microsoft.com/office/drawing/2014/main" id="{581A790C-6ABF-AB54-DF1F-D944DE5F72D5}"/>
            </a:ext>
          </a:extLst>
        </xdr:cNvPr>
        <xdr:cNvSpPr txBox="1"/>
      </xdr:nvSpPr>
      <xdr:spPr>
        <a:xfrm>
          <a:off x="16447477" y="8956431"/>
          <a:ext cx="1477108" cy="1875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Prepared by Opute G.</a:t>
          </a:r>
          <a:endParaRPr lang="en-US">
            <a:effectLst/>
          </a:endParaRPr>
        </a:p>
        <a:p>
          <a:endParaRPr lang="en-US" sz="1100" b="1">
            <a:solidFill>
              <a:srgbClr val="176F4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60960</xdr:colOff>
      <xdr:row>51</xdr:row>
      <xdr:rowOff>45720</xdr:rowOff>
    </xdr:to>
    <xdr:sp macro="" textlink="">
      <xdr:nvSpPr>
        <xdr:cNvPr id="2" name="Rectangle 1">
          <a:extLst>
            <a:ext uri="{FF2B5EF4-FFF2-40B4-BE49-F238E27FC236}">
              <a16:creationId xmlns:a16="http://schemas.microsoft.com/office/drawing/2014/main" id="{34877B92-8B53-4D67-808A-FCF4F118ED00}"/>
            </a:ext>
          </a:extLst>
        </xdr:cNvPr>
        <xdr:cNvSpPr/>
      </xdr:nvSpPr>
      <xdr:spPr>
        <a:xfrm>
          <a:off x="0" y="0"/>
          <a:ext cx="4328160" cy="93726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POST ANALYSIS OBSERVATIONS</a:t>
          </a:r>
        </a:p>
        <a:p>
          <a:pPr algn="l"/>
          <a:r>
            <a:rPr lang="en-US" sz="1100" b="0" i="0" u="none" strike="noStrike">
              <a:solidFill>
                <a:schemeClr val="lt1"/>
              </a:solidFill>
              <a:effectLst/>
              <a:latin typeface="+mn-lt"/>
              <a:ea typeface="+mn-ea"/>
              <a:cs typeface="+mn-cs"/>
            </a:rPr>
            <a:t>Salespersons</a:t>
          </a:r>
        </a:p>
        <a:p>
          <a:pPr algn="l"/>
          <a:r>
            <a:rPr lang="en-US" sz="1100" b="0" i="0" u="none" strike="noStrike" baseline="0">
              <a:solidFill>
                <a:schemeClr val="lt1"/>
              </a:solidFill>
              <a:effectLst/>
              <a:latin typeface="+mn-lt"/>
              <a:ea typeface="+mn-ea"/>
              <a:cs typeface="+mn-cs"/>
            </a:rPr>
            <a:t>1.Andrew Cenceni</a:t>
          </a:r>
        </a:p>
        <a:p>
          <a:pPr algn="l"/>
          <a:r>
            <a:rPr lang="en-US" sz="900" b="1" baseline="0"/>
            <a:t>Andrew Cenceni who is from the east generated a total sales of $67,180.30. He sold Jams, preserves more followed by fruits and nuts, then pasta and grains with baked goods and mixes being the least. He had the the highest sales in june follewd by in December. He sold more to company D</a:t>
          </a:r>
        </a:p>
        <a:p>
          <a:pPr algn="l"/>
          <a:endParaRPr lang="en-US" sz="900" b="1" baseline="0"/>
        </a:p>
        <a:p>
          <a:pPr algn="l"/>
          <a:r>
            <a:rPr lang="en-US" sz="900" b="1" baseline="0"/>
            <a:t>2. Arne Larsen</a:t>
          </a:r>
        </a:p>
        <a:p>
          <a:pPr algn="l"/>
          <a:r>
            <a:rPr lang="en-US" sz="900" b="1" baseline="0"/>
            <a:t>Arne Larsen from  the south made a total sales of $93,858.33. She sold beverages more, followed by canned meat, then sauces, oil , then soups</a:t>
          </a:r>
        </a:p>
        <a:p>
          <a:pPr algn="l"/>
          <a:r>
            <a:rPr lang="en-US" sz="900" b="1" baseline="0"/>
            <a:t>.She sold more to company BB followed by company Z and then company k. she had the highest sales in December and the lowest sale in February</a:t>
          </a:r>
        </a:p>
        <a:p>
          <a:pPr algn="l"/>
          <a:endParaRPr lang="en-US" sz="900" b="1" baseline="0"/>
        </a:p>
        <a:p>
          <a:pPr algn="l"/>
          <a:r>
            <a:rPr lang="en-US" sz="900" b="1" baseline="0"/>
            <a:t>3. Jan kotas who is from the west performed the least of the year with a total sales of $16,350.50. His highest sales was in june. He sold more of beverages followed by fruit and vegetable with candy being the least product sold. He sold more to company CC</a:t>
          </a:r>
        </a:p>
        <a:p>
          <a:pPr algn="l"/>
          <a:endParaRPr lang="en-US" sz="900" b="1" baseline="0"/>
        </a:p>
        <a:p>
          <a:pPr algn="l"/>
          <a:r>
            <a:rPr lang="en-US" sz="900" b="1" baseline="0"/>
            <a:t>4.Laura Guissani</a:t>
          </a:r>
        </a:p>
        <a:p>
          <a:pPr algn="l"/>
          <a:r>
            <a:rPr lang="en-US" sz="900" b="1" baseline="0"/>
            <a:t>Made a sales of $41,095 and from the East. She sold more to company J followed by company Y. she sold more of condiments, followed by baked goods and mixes with beverages being the  least product sold. Her highest sales for the year was in june followed by December</a:t>
          </a:r>
        </a:p>
        <a:p>
          <a:pPr algn="l"/>
          <a:endParaRPr lang="en-US" sz="900" b="1" baseline="0"/>
        </a:p>
        <a:p>
          <a:pPr algn="l"/>
          <a:r>
            <a:rPr lang="en-US" sz="900" b="1" baseline="0"/>
            <a:t>5. Mariya Sergienko</a:t>
          </a:r>
        </a:p>
        <a:p>
          <a:pPr algn="l"/>
          <a:r>
            <a:rPr lang="en-US" sz="900" b="1" baseline="0"/>
            <a:t>Mariya Sergienta generated sales of $42,370.88 and from the west. she sold more of sauces, followed by beverages with dried fruits and nuts being the lowest product sold. her highest sales for the year was in December followed by in April. She sold more to company AA followed by company C</a:t>
          </a:r>
        </a:p>
        <a:p>
          <a:pPr algn="l"/>
          <a:endParaRPr lang="en-US" sz="900" b="1" baseline="0"/>
        </a:p>
        <a:p>
          <a:pPr algn="l"/>
          <a:r>
            <a:rPr lang="en-US" sz="900" b="1" baseline="0"/>
            <a:t>6.Michael Neipper</a:t>
          </a:r>
        </a:p>
        <a:p>
          <a:pPr algn="l"/>
          <a:r>
            <a:rPr lang="en-US" sz="900" b="1" baseline="0"/>
            <a:t>Generated sales of $37,428 and from the North region. highest sales was in October. sold more to company F. He sold more of beverages, followed by sauces, then candy, then dried fruit and nut</a:t>
          </a:r>
        </a:p>
        <a:p>
          <a:pPr algn="l"/>
          <a:endParaRPr lang="en-US" sz="900" b="1" baseline="0"/>
        </a:p>
        <a:p>
          <a:pPr algn="l"/>
          <a:r>
            <a:rPr lang="en-US" sz="900" b="1" baseline="0"/>
            <a:t>7. Nancy Freehafer</a:t>
          </a:r>
        </a:p>
        <a:p>
          <a:pPr algn="l"/>
          <a:r>
            <a:rPr lang="en-US" sz="900" b="1" baseline="0"/>
            <a:t>Nancy Freehafer the best performing salesperson who is from the North region generated sales of $104,252.34  with highest sales in December. sold more to company H followed by company A. she sold more of beverages  followed by sauces, then diary product.</a:t>
          </a:r>
        </a:p>
        <a:p>
          <a:pPr algn="l"/>
          <a:endParaRPr lang="en-US" sz="900" b="1" baseline="0"/>
        </a:p>
        <a:p>
          <a:pPr algn="l"/>
          <a:r>
            <a:rPr lang="en-US" sz="900" b="1" baseline="0"/>
            <a:t>8.Robert Zare</a:t>
          </a:r>
        </a:p>
        <a:p>
          <a:pPr algn="l"/>
          <a:r>
            <a:rPr lang="en-US" sz="900" b="1" baseline="0"/>
            <a:t>Robert Zare who is from the West region sold more of diary products , followed  by pasta, then soups. Sold more to company I. Highest sales for the year was  in october followed by june then in January</a:t>
          </a:r>
        </a:p>
        <a:p>
          <a:pPr algn="l"/>
          <a:endParaRPr lang="en-US" sz="900" b="1" baseline="0"/>
        </a:p>
        <a:p>
          <a:pPr algn="l"/>
          <a:endParaRPr lang="en-US" sz="900" b="1" baseline="0"/>
        </a:p>
        <a:p>
          <a:pPr algn="l"/>
          <a:endParaRPr lang="en-US" sz="900" b="1" baseline="0"/>
        </a:p>
        <a:p>
          <a:pPr algn="l"/>
          <a:endParaRPr lang="en-US" sz="900" b="1" baseline="0"/>
        </a:p>
        <a:p>
          <a:pPr algn="l"/>
          <a:endParaRPr lang="en-US" sz="1600" baseline="0"/>
        </a:p>
        <a:p>
          <a:pPr algn="l"/>
          <a:endParaRPr lang="en-US" sz="1600" baseline="0"/>
        </a:p>
        <a:p>
          <a:pPr algn="l"/>
          <a:endParaRPr lang="en-US" sz="1600" baseline="0"/>
        </a:p>
        <a:p>
          <a:pPr algn="l"/>
          <a:r>
            <a:rPr lang="en-US" sz="1600" baseline="0"/>
            <a:t>  </a:t>
          </a:r>
          <a:endParaRPr lang="en-US" sz="1600"/>
        </a:p>
      </xdr:txBody>
    </xdr:sp>
    <xdr:clientData/>
  </xdr:twoCellAnchor>
  <xdr:twoCellAnchor>
    <xdr:from>
      <xdr:col>7</xdr:col>
      <xdr:colOff>30480</xdr:colOff>
      <xdr:row>0</xdr:row>
      <xdr:rowOff>0</xdr:rowOff>
    </xdr:from>
    <xdr:to>
      <xdr:col>16</xdr:col>
      <xdr:colOff>365760</xdr:colOff>
      <xdr:row>74</xdr:row>
      <xdr:rowOff>76200</xdr:rowOff>
    </xdr:to>
    <xdr:sp macro="" textlink="">
      <xdr:nvSpPr>
        <xdr:cNvPr id="3" name="Rectangle 2">
          <a:extLst>
            <a:ext uri="{FF2B5EF4-FFF2-40B4-BE49-F238E27FC236}">
              <a16:creationId xmlns:a16="http://schemas.microsoft.com/office/drawing/2014/main" id="{035D9234-849D-4955-BB43-F4353CCF3BCE}"/>
            </a:ext>
          </a:extLst>
        </xdr:cNvPr>
        <xdr:cNvSpPr/>
      </xdr:nvSpPr>
      <xdr:spPr>
        <a:xfrm>
          <a:off x="4297680" y="0"/>
          <a:ext cx="5821680" cy="1360932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t>                        POST ANALYSIS INSIGHTS</a:t>
          </a:r>
        </a:p>
        <a:p>
          <a:pPr algn="l"/>
          <a:r>
            <a:rPr lang="en-US" sz="900" b="1"/>
            <a:t>Salesperson Performance</a:t>
          </a:r>
        </a:p>
        <a:p>
          <a:r>
            <a:rPr lang="en-US" sz="900" b="1"/>
            <a:t>1. Regional concentration of top performers</a:t>
          </a:r>
          <a:br>
            <a:rPr lang="en-US" sz="900"/>
          </a:br>
          <a:r>
            <a:rPr lang="en-US" sz="900"/>
            <a:t>The strongest results came from the </a:t>
          </a:r>
          <a:r>
            <a:rPr lang="en-US" sz="900" b="1"/>
            <a:t>North and South regions</a:t>
          </a:r>
          <a:r>
            <a:rPr lang="en-US" sz="900"/>
            <a:t>, led by Nancy Freehafer and Arne Larsen. This suggests stronger market demand or better customer penetration in these regions compared to the West, where the lowest performer is located.</a:t>
          </a:r>
        </a:p>
        <a:p>
          <a:r>
            <a:rPr lang="en-US" sz="900" b="1"/>
            <a:t>2. Clear performance gap among salespersons</a:t>
          </a:r>
          <a:br>
            <a:rPr lang="en-US" sz="900"/>
          </a:br>
          <a:r>
            <a:rPr lang="en-US" sz="900"/>
            <a:t>There is a significant gap between the top performer (Nancy: $104k) and the lowest performer (Jan: $16k). This indicates potential issues with territory potential, product mix, or individual sales effectiveness that require review and support.</a:t>
          </a:r>
        </a:p>
        <a:p>
          <a:r>
            <a:rPr lang="en-US" sz="900" b="1"/>
            <a:t>3. Beverages dominate across most territories</a:t>
          </a:r>
          <a:br>
            <a:rPr lang="en-US" sz="900"/>
          </a:br>
          <a:r>
            <a:rPr lang="en-US" sz="900"/>
            <a:t>Beverages consistently appear as the top-selling category for multiple salespersons (Arne, Jan, Michael, Nancy). This confirms beverages as the </a:t>
          </a:r>
          <a:r>
            <a:rPr lang="en-US" sz="900" b="1"/>
            <a:t>core revenue driver</a:t>
          </a:r>
          <a:r>
            <a:rPr lang="en-US" sz="900"/>
            <a:t> and a key category for future promotions and inventory focus.</a:t>
          </a:r>
        </a:p>
        <a:p>
          <a:r>
            <a:rPr lang="en-US" sz="900" b="1"/>
            <a:t>4. Strong year-end sales momentum</a:t>
          </a:r>
          <a:br>
            <a:rPr lang="en-US" sz="900"/>
          </a:br>
          <a:r>
            <a:rPr lang="en-US" sz="900"/>
            <a:t>December is the peak month for several salespersons (Arne, Mariya, Nancy, Andrew, Laura). This confirms </a:t>
          </a:r>
          <a:r>
            <a:rPr lang="en-US" sz="900" b="1"/>
            <a:t>seasonal demand spikes</a:t>
          </a:r>
          <a:r>
            <a:rPr lang="en-US" sz="900"/>
            <a:t>, likely linked to holidays, and suggests an opportunity for structured year-end campaigns.</a:t>
          </a:r>
        </a:p>
        <a:p>
          <a:r>
            <a:rPr lang="en-US" sz="900" b="1"/>
            <a:t>5. June as a secondary peak period</a:t>
          </a:r>
          <a:br>
            <a:rPr lang="en-US" sz="900"/>
          </a:br>
          <a:r>
            <a:rPr lang="en-US" sz="900"/>
            <a:t>June shows strong performance for multiple reps (Andrew, Jan, Laura, Robert), indicating a mid-year demand cycle that could be further leveraged through promotions.</a:t>
          </a:r>
        </a:p>
        <a:p>
          <a:r>
            <a:rPr lang="en-US" sz="900" b="1"/>
            <a:t>6. Customer concentration risk</a:t>
          </a:r>
          <a:br>
            <a:rPr lang="en-US" sz="900"/>
          </a:br>
          <a:r>
            <a:rPr lang="en-US" sz="900"/>
            <a:t>Most salespersons rely heavily on </a:t>
          </a:r>
          <a:r>
            <a:rPr lang="en-US" sz="900" b="1"/>
            <a:t>one or two major customers</a:t>
          </a:r>
          <a:r>
            <a:rPr lang="en-US" sz="900"/>
            <a:t>. For example, Andrew relies on Company D, and Nancy on Companies H and A. This creates a </a:t>
          </a:r>
          <a:r>
            <a:rPr lang="en-US" sz="900" b="1"/>
            <a:t>dependency risk</a:t>
          </a:r>
          <a:r>
            <a:rPr lang="en-US" sz="900"/>
            <a:t> if any major client reduces orders.</a:t>
          </a:r>
        </a:p>
        <a:p>
          <a:r>
            <a:rPr lang="en-US" sz="900" b="1"/>
            <a:t>7. Product specialization by salesperson</a:t>
          </a:r>
          <a:br>
            <a:rPr lang="en-US" sz="900"/>
          </a:br>
          <a:r>
            <a:rPr lang="en-US" sz="900"/>
            <a:t>Each salesperson shows a dominant product category (e.g., condiments for Laura, sauces for Mariya, dairy for Robert). This suggests opportunities to </a:t>
          </a:r>
          <a:r>
            <a:rPr lang="en-US" sz="900" b="1"/>
            <a:t>train salespersons to cross-sell higher-margin categories</a:t>
          </a:r>
          <a:r>
            <a:rPr lang="en-US" sz="900"/>
            <a:t>.</a:t>
          </a:r>
        </a:p>
        <a:p>
          <a:r>
            <a:rPr lang="en-US" sz="900" b="1"/>
            <a:t>8. Underperforming territory requires intervention</a:t>
          </a:r>
          <a:br>
            <a:rPr lang="en-US" sz="900"/>
          </a:br>
          <a:r>
            <a:rPr lang="en-US" sz="900"/>
            <a:t>The West region contains both mid- and low-performing salespersons, including the overall lowest performer. This suggests the need for </a:t>
          </a:r>
          <a:r>
            <a:rPr lang="en-US" sz="900" b="1"/>
            <a:t>territory review, customer expansion, or targeted support</a:t>
          </a:r>
          <a:r>
            <a:rPr lang="en-US" sz="900"/>
            <a:t>.</a:t>
          </a:r>
        </a:p>
        <a:p>
          <a:br>
            <a:rPr lang="en-US" sz="900"/>
          </a:br>
          <a:endParaRPr lang="en-US" sz="900"/>
        </a:p>
        <a:p>
          <a:r>
            <a:rPr lang="en-US" sz="900" b="1"/>
            <a:t>Strategic Recommendations</a:t>
          </a:r>
        </a:p>
        <a:p>
          <a:r>
            <a:rPr lang="en-US" sz="900"/>
            <a:t>Prioritize </a:t>
          </a:r>
          <a:r>
            <a:rPr lang="en-US" sz="900" b="1"/>
            <a:t>beverage category promotions</a:t>
          </a:r>
          <a:r>
            <a:rPr lang="en-US" sz="900"/>
            <a:t> across all regions.</a:t>
          </a:r>
        </a:p>
        <a:p>
          <a:r>
            <a:rPr lang="en-US" sz="900"/>
            <a:t>Launch </a:t>
          </a:r>
          <a:r>
            <a:rPr lang="en-US" sz="900" b="1"/>
            <a:t>structured campaigns for June and December</a:t>
          </a:r>
          <a:r>
            <a:rPr lang="en-US" sz="900"/>
            <a:t> to maximize peak-season demand.</a:t>
          </a:r>
        </a:p>
        <a:p>
          <a:r>
            <a:rPr lang="en-US" sz="900"/>
            <a:t>Reduce </a:t>
          </a:r>
          <a:r>
            <a:rPr lang="en-US" sz="900" b="1"/>
            <a:t>customer dependency</a:t>
          </a:r>
          <a:r>
            <a:rPr lang="en-US" sz="900"/>
            <a:t> by expanding each salesperson’s client base.</a:t>
          </a:r>
        </a:p>
        <a:p>
          <a:r>
            <a:rPr lang="en-US" sz="900"/>
            <a:t>Provide </a:t>
          </a:r>
          <a:r>
            <a:rPr lang="en-US" sz="900" b="1"/>
            <a:t>coaching or territory restructuring</a:t>
          </a:r>
          <a:r>
            <a:rPr lang="en-US" sz="900"/>
            <a:t> for underperforming salespersons.</a:t>
          </a:r>
        </a:p>
        <a:p>
          <a:r>
            <a:rPr lang="en-US" sz="900"/>
            <a:t>Introduce </a:t>
          </a:r>
          <a:r>
            <a:rPr lang="en-US" sz="900" b="1"/>
            <a:t>cross-selling strategies</a:t>
          </a:r>
          <a:r>
            <a:rPr lang="en-US" sz="900"/>
            <a:t> to diversify product mix and increase revenue per customer.</a:t>
          </a:r>
        </a:p>
        <a:p>
          <a:pPr algn="l"/>
          <a:endParaRPr lang="en-US" sz="900" b="1" baseline="0"/>
        </a:p>
        <a:p>
          <a:pPr algn="l"/>
          <a:endParaRPr lang="en-US" sz="1000" baseline="0"/>
        </a:p>
        <a:p>
          <a:pPr algn="l"/>
          <a:r>
            <a:rPr lang="en-US" sz="1600" baseline="0"/>
            <a:t>  </a:t>
          </a:r>
          <a:endParaRPr lang="en-US" sz="1600"/>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4.497661226851" createdVersion="8" refreshedVersion="8" minRefreshableVersion="3" recordCount="369" xr:uid="{C36AE420-6383-48C7-9C1B-A6BC22AA6202}">
  <cacheSource type="worksheet">
    <worksheetSource ref="A1:Z370" sheet="Data (2)"/>
  </cacheSource>
  <cacheFields count="27">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348893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AE31A-C014-461B-B40F-65D9669B4DC2}"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16"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measureFilter="1">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h="1" x="1"/>
        <item h="1" x="2"/>
        <item h="1"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5"/>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06249-27EE-4313-B201-797826F9367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3:B10"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measureFilter="1">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h="1" x="1"/>
        <item h="1" x="2"/>
        <item h="1"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457AD7-3886-4411-B6A1-8A70CF425DE5}"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16"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h="1" x="1"/>
        <item h="1" x="2"/>
        <item h="1"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6" count="1" selected="0">
            <x v="6"/>
          </reference>
        </references>
      </pivotArea>
    </chartFormat>
    <chartFormat chart="2" format="4">
      <pivotArea type="data" outline="0" fieldPosition="0">
        <references count="2">
          <reference field="4294967294" count="1" selected="0">
            <x v="0"/>
          </reference>
          <reference field="2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8EA4E-C946-4730-B8F4-0D23BFB2AF4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9"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h="1" x="1"/>
        <item h="1" x="2"/>
        <item h="1"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5"/>
  </rowFields>
  <rowItems count="6">
    <i>
      <x v="1"/>
    </i>
    <i>
      <x v="5"/>
    </i>
    <i>
      <x v="6"/>
    </i>
    <i>
      <x v="8"/>
    </i>
    <i>
      <x v="9"/>
    </i>
    <i t="grand">
      <x/>
    </i>
  </rowItems>
  <colItems count="1">
    <i/>
  </colItems>
  <dataFields count="1">
    <dataField name="Sum of Revenue" fld="24"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6"/>
          </reference>
        </references>
      </pivotArea>
    </chartFormat>
    <chartFormat chart="0" format="4">
      <pivotArea type="data" outline="0" fieldPosition="0">
        <references count="2">
          <reference field="4294967294" count="1" selected="0">
            <x v="0"/>
          </reference>
          <reference field="5" count="1" selected="0">
            <x v="8"/>
          </reference>
        </references>
      </pivotArea>
    </chartFormat>
    <chartFormat chart="0" format="5">
      <pivotArea type="data" outline="0" fieldPosition="0">
        <references count="2">
          <reference field="4294967294" count="1" selected="0">
            <x v="0"/>
          </reference>
          <reference field="5" count="1" selected="0">
            <x v="9"/>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1"/>
          </reference>
        </references>
      </pivotArea>
    </chartFormat>
    <chartFormat chart="11" format="14">
      <pivotArea type="data" outline="0" fieldPosition="0">
        <references count="2">
          <reference field="4294967294" count="1" selected="0">
            <x v="0"/>
          </reference>
          <reference field="5" count="1" selected="0">
            <x v="5"/>
          </reference>
        </references>
      </pivotArea>
    </chartFormat>
    <chartFormat chart="11" format="15">
      <pivotArea type="data" outline="0" fieldPosition="0">
        <references count="2">
          <reference field="4294967294" count="1" selected="0">
            <x v="0"/>
          </reference>
          <reference field="5" count="1" selected="0">
            <x v="6"/>
          </reference>
        </references>
      </pivotArea>
    </chartFormat>
    <chartFormat chart="11" format="16">
      <pivotArea type="data" outline="0" fieldPosition="0">
        <references count="2">
          <reference field="4294967294" count="1" selected="0">
            <x v="0"/>
          </reference>
          <reference field="5" count="1" selected="0">
            <x v="8"/>
          </reference>
        </references>
      </pivotArea>
    </chartFormat>
    <chartFormat chart="11" format="17">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9A730-E9C8-4B45-8D6E-722C2E43008F}"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14"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h="1" x="1"/>
        <item h="1" x="2"/>
        <item h="1"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3"/>
  </rowFields>
  <rowItems count="11">
    <i>
      <x v="11"/>
    </i>
    <i>
      <x v="3"/>
    </i>
    <i>
      <x v="14"/>
    </i>
    <i>
      <x v="10"/>
    </i>
    <i>
      <x v="9"/>
    </i>
    <i>
      <x/>
    </i>
    <i>
      <x v="6"/>
    </i>
    <i>
      <x v="2"/>
    </i>
    <i>
      <x v="8"/>
    </i>
    <i>
      <x v="5"/>
    </i>
    <i t="grand">
      <x/>
    </i>
  </rowItems>
  <colItems count="1">
    <i/>
  </colItems>
  <dataFields count="1">
    <dataField name="Sum of Revenue" fld="24" baseField="0" baseItem="0" numFmtId="165"/>
  </dataFields>
  <chartFormats count="2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5"/>
          </reference>
        </references>
      </pivotArea>
    </chartFormat>
    <chartFormat chart="1" format="3">
      <pivotArea type="data" outline="0" fieldPosition="0">
        <references count="2">
          <reference field="4294967294" count="1" selected="0">
            <x v="0"/>
          </reference>
          <reference field="3" count="1" selected="0">
            <x v="8"/>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 chart="1" format="6">
      <pivotArea type="data" outline="0" fieldPosition="0">
        <references count="2">
          <reference field="4294967294" count="1" selected="0">
            <x v="0"/>
          </reference>
          <reference field="3" count="1" selected="0">
            <x v="0"/>
          </reference>
        </references>
      </pivotArea>
    </chartFormat>
    <chartFormat chart="1" format="7">
      <pivotArea type="data" outline="0" fieldPosition="0">
        <references count="2">
          <reference field="4294967294" count="1" selected="0">
            <x v="0"/>
          </reference>
          <reference field="3" count="1" selected="0">
            <x v="9"/>
          </reference>
        </references>
      </pivotArea>
    </chartFormat>
    <chartFormat chart="1" format="8">
      <pivotArea type="data" outline="0" fieldPosition="0">
        <references count="2">
          <reference field="4294967294" count="1" selected="0">
            <x v="0"/>
          </reference>
          <reference field="3" count="1" selected="0">
            <x v="10"/>
          </reference>
        </references>
      </pivotArea>
    </chartFormat>
    <chartFormat chart="1" format="9">
      <pivotArea type="data" outline="0" fieldPosition="0">
        <references count="2">
          <reference field="4294967294" count="1" selected="0">
            <x v="0"/>
          </reference>
          <reference field="3" count="1" selected="0">
            <x v="14"/>
          </reference>
        </references>
      </pivotArea>
    </chartFormat>
    <chartFormat chart="1" format="10">
      <pivotArea type="data" outline="0" fieldPosition="0">
        <references count="2">
          <reference field="4294967294" count="1" selected="0">
            <x v="0"/>
          </reference>
          <reference field="3" count="1" selected="0">
            <x v="3"/>
          </reference>
        </references>
      </pivotArea>
    </chartFormat>
    <chartFormat chart="1" format="11">
      <pivotArea type="data" outline="0" fieldPosition="0">
        <references count="2">
          <reference field="4294967294" count="1" selected="0">
            <x v="0"/>
          </reference>
          <reference field="3" count="1" selected="0">
            <x v="11"/>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3" count="1" selected="0">
            <x v="11"/>
          </reference>
        </references>
      </pivotArea>
    </chartFormat>
    <chartFormat chart="6" format="25">
      <pivotArea type="data" outline="0" fieldPosition="0">
        <references count="2">
          <reference field="4294967294" count="1" selected="0">
            <x v="0"/>
          </reference>
          <reference field="3" count="1" selected="0">
            <x v="3"/>
          </reference>
        </references>
      </pivotArea>
    </chartFormat>
    <chartFormat chart="6" format="26">
      <pivotArea type="data" outline="0" fieldPosition="0">
        <references count="2">
          <reference field="4294967294" count="1" selected="0">
            <x v="0"/>
          </reference>
          <reference field="3" count="1" selected="0">
            <x v="14"/>
          </reference>
        </references>
      </pivotArea>
    </chartFormat>
    <chartFormat chart="6" format="27">
      <pivotArea type="data" outline="0" fieldPosition="0">
        <references count="2">
          <reference field="4294967294" count="1" selected="0">
            <x v="0"/>
          </reference>
          <reference field="3" count="1" selected="0">
            <x v="10"/>
          </reference>
        </references>
      </pivotArea>
    </chartFormat>
    <chartFormat chart="6" format="28">
      <pivotArea type="data" outline="0" fieldPosition="0">
        <references count="2">
          <reference field="4294967294" count="1" selected="0">
            <x v="0"/>
          </reference>
          <reference field="3" count="1" selected="0">
            <x v="9"/>
          </reference>
        </references>
      </pivotArea>
    </chartFormat>
    <chartFormat chart="6" format="29">
      <pivotArea type="data" outline="0" fieldPosition="0">
        <references count="2">
          <reference field="4294967294" count="1" selected="0">
            <x v="0"/>
          </reference>
          <reference field="3" count="1" selected="0">
            <x v="0"/>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 chart="6" format="31">
      <pivotArea type="data" outline="0" fieldPosition="0">
        <references count="2">
          <reference field="4294967294" count="1" selected="0">
            <x v="0"/>
          </reference>
          <reference field="3" count="1" selected="0">
            <x v="2"/>
          </reference>
        </references>
      </pivotArea>
    </chartFormat>
    <chartFormat chart="6" format="32">
      <pivotArea type="data" outline="0" fieldPosition="0">
        <references count="2">
          <reference field="4294967294" count="1" selected="0">
            <x v="0"/>
          </reference>
          <reference field="3" count="1" selected="0">
            <x v="8"/>
          </reference>
        </references>
      </pivotArea>
    </chartFormat>
    <chartFormat chart="6" format="33">
      <pivotArea type="data" outline="0" fieldPosition="0">
        <references count="2">
          <reference field="4294967294" count="1" selected="0">
            <x v="0"/>
          </reference>
          <reference field="3" count="1" selected="0">
            <x v="5"/>
          </reference>
        </references>
      </pivotArea>
    </chartFormat>
    <chartFormat chart="6" format="34">
      <pivotArea type="data" outline="0" fieldPosition="0">
        <references count="2">
          <reference field="4294967294" count="1" selected="0">
            <x v="0"/>
          </reference>
          <reference field="3" count="1" selected="0">
            <x v="1"/>
          </reference>
        </references>
      </pivotArea>
    </chartFormat>
    <chartFormat chart="6" format="35">
      <pivotArea type="data" outline="0" fieldPosition="0">
        <references count="2">
          <reference field="4294967294" count="1" selected="0">
            <x v="0"/>
          </reference>
          <reference field="3" count="1" selected="0">
            <x v="13"/>
          </reference>
        </references>
      </pivotArea>
    </chartFormat>
    <chartFormat chart="6" format="36">
      <pivotArea type="data" outline="0" fieldPosition="0">
        <references count="2">
          <reference field="4294967294" count="1" selected="0">
            <x v="0"/>
          </reference>
          <reference field="3" count="1" selected="0">
            <x v="12"/>
          </reference>
        </references>
      </pivotArea>
    </chartFormat>
    <chartFormat chart="6" format="37">
      <pivotArea type="data" outline="0" fieldPosition="0">
        <references count="2">
          <reference field="4294967294" count="1" selected="0">
            <x v="0"/>
          </reference>
          <reference field="3" count="1" selected="0">
            <x v="4"/>
          </reference>
        </references>
      </pivotArea>
    </chartFormat>
    <chartFormat chart="6" format="3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A49ADB-8575-4F66-A436-F45A89CA74B2}"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12"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h="1" x="1"/>
        <item h="1" x="2"/>
        <item h="1"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9"/>
  </rowFields>
  <rowItems count="9">
    <i>
      <x v="2"/>
    </i>
    <i>
      <x v="7"/>
    </i>
    <i>
      <x v="5"/>
    </i>
    <i>
      <x v="3"/>
    </i>
    <i>
      <x v="4"/>
    </i>
    <i>
      <x/>
    </i>
    <i>
      <x v="1"/>
    </i>
    <i>
      <x v="6"/>
    </i>
    <i t="grand">
      <x/>
    </i>
  </rowItems>
  <colItems count="1">
    <i/>
  </colItems>
  <dataFields count="1">
    <dataField name="Sum of Revenue" fld="24" baseField="0" baseItem="0" numFmtId="165"/>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9" count="1" selected="0">
            <x v="7"/>
          </reference>
        </references>
      </pivotArea>
    </chartFormat>
    <chartFormat chart="4" format="24">
      <pivotArea type="data" outline="0" fieldPosition="0">
        <references count="2">
          <reference field="4294967294" count="1" selected="0">
            <x v="0"/>
          </reference>
          <reference field="9" count="1" selected="0">
            <x v="6"/>
          </reference>
        </references>
      </pivotArea>
    </chartFormat>
    <chartFormat chart="4" format="25">
      <pivotArea type="data" outline="0" fieldPosition="0">
        <references count="2">
          <reference field="4294967294" count="1" selected="0">
            <x v="0"/>
          </reference>
          <reference field="9" count="1" selected="0">
            <x v="1"/>
          </reference>
        </references>
      </pivotArea>
    </chartFormat>
    <chartFormat chart="4" format="26">
      <pivotArea type="data" outline="0" fieldPosition="0">
        <references count="2">
          <reference field="4294967294" count="1" selected="0">
            <x v="0"/>
          </reference>
          <reference field="9" count="1" selected="0">
            <x v="0"/>
          </reference>
        </references>
      </pivotArea>
    </chartFormat>
    <chartFormat chart="4" format="27">
      <pivotArea type="data" outline="0" fieldPosition="0">
        <references count="2">
          <reference field="4294967294" count="1" selected="0">
            <x v="0"/>
          </reference>
          <reference field="9" count="1" selected="0">
            <x v="4"/>
          </reference>
        </references>
      </pivotArea>
    </chartFormat>
    <chartFormat chart="4" format="28">
      <pivotArea type="data" outline="0" fieldPosition="0">
        <references count="2">
          <reference field="4294967294" count="1" selected="0">
            <x v="0"/>
          </reference>
          <reference field="9" count="1" selected="0">
            <x v="3"/>
          </reference>
        </references>
      </pivotArea>
    </chartFormat>
    <chartFormat chart="4" format="29">
      <pivotArea type="data" outline="0" fieldPosition="0">
        <references count="2">
          <reference field="4294967294" count="1" selected="0">
            <x v="0"/>
          </reference>
          <reference field="9" count="1" selected="0">
            <x v="5"/>
          </reference>
        </references>
      </pivotArea>
    </chartFormat>
    <chartFormat chart="4" format="30">
      <pivotArea type="data" outline="0" fieldPosition="0">
        <references count="2">
          <reference field="4294967294" count="1" selected="0">
            <x v="0"/>
          </reference>
          <reference field="9" count="1" selected="0">
            <x v="2"/>
          </reference>
        </references>
      </pivotArea>
    </chartFormat>
    <chartFormat chart="9" format="40" series="1">
      <pivotArea type="data" outline="0" fieldPosition="0">
        <references count="1">
          <reference field="4294967294" count="1" selected="0">
            <x v="0"/>
          </reference>
        </references>
      </pivotArea>
    </chartFormat>
    <chartFormat chart="9" format="41">
      <pivotArea type="data" outline="0" fieldPosition="0">
        <references count="2">
          <reference field="4294967294" count="1" selected="0">
            <x v="0"/>
          </reference>
          <reference field="9" count="1" selected="0">
            <x v="2"/>
          </reference>
        </references>
      </pivotArea>
    </chartFormat>
    <chartFormat chart="9" format="42">
      <pivotArea type="data" outline="0" fieldPosition="0">
        <references count="2">
          <reference field="4294967294" count="1" selected="0">
            <x v="0"/>
          </reference>
          <reference field="9" count="1" selected="0">
            <x v="7"/>
          </reference>
        </references>
      </pivotArea>
    </chartFormat>
    <chartFormat chart="9" format="43">
      <pivotArea type="data" outline="0" fieldPosition="0">
        <references count="2">
          <reference field="4294967294" count="1" selected="0">
            <x v="0"/>
          </reference>
          <reference field="9" count="1" selected="0">
            <x v="5"/>
          </reference>
        </references>
      </pivotArea>
    </chartFormat>
    <chartFormat chart="9" format="44">
      <pivotArea type="data" outline="0" fieldPosition="0">
        <references count="2">
          <reference field="4294967294" count="1" selected="0">
            <x v="0"/>
          </reference>
          <reference field="9" count="1" selected="0">
            <x v="3"/>
          </reference>
        </references>
      </pivotArea>
    </chartFormat>
    <chartFormat chart="9" format="45">
      <pivotArea type="data" outline="0" fieldPosition="0">
        <references count="2">
          <reference field="4294967294" count="1" selected="0">
            <x v="0"/>
          </reference>
          <reference field="9" count="1" selected="0">
            <x v="4"/>
          </reference>
        </references>
      </pivotArea>
    </chartFormat>
    <chartFormat chart="9" format="46">
      <pivotArea type="data" outline="0" fieldPosition="0">
        <references count="2">
          <reference field="4294967294" count="1" selected="0">
            <x v="0"/>
          </reference>
          <reference field="9" count="1" selected="0">
            <x v="0"/>
          </reference>
        </references>
      </pivotArea>
    </chartFormat>
    <chartFormat chart="9" format="47">
      <pivotArea type="data" outline="0" fieldPosition="0">
        <references count="2">
          <reference field="4294967294" count="1" selected="0">
            <x v="0"/>
          </reference>
          <reference field="9" count="1" selected="0">
            <x v="1"/>
          </reference>
        </references>
      </pivotArea>
    </chartFormat>
    <chartFormat chart="9" format="48">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0FAB57-A20B-4C75-BF5F-4D7B81991FAE}"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A3:B8"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10"/>
  </rowFields>
  <rowItems count="5">
    <i>
      <x v="2"/>
    </i>
    <i>
      <x v="3"/>
    </i>
    <i>
      <x v="1"/>
    </i>
    <i>
      <x/>
    </i>
    <i t="grand">
      <x/>
    </i>
  </rowItems>
  <colItems count="1">
    <i/>
  </colItems>
  <dataFields count="1">
    <dataField name="Sum of Revenue" fld="24" showDataAs="percentOfTotal" baseField="0" baseItem="0" numFmtId="10"/>
  </dataFields>
  <chartFormats count="2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0"/>
          </reference>
        </references>
      </pivotArea>
    </chartFormat>
    <chartFormat chart="8" format="40">
      <pivotArea type="data" outline="0" fieldPosition="0">
        <references count="2">
          <reference field="4294967294" count="1" selected="0">
            <x v="0"/>
          </reference>
          <reference field="10" count="1" selected="0">
            <x v="2"/>
          </reference>
        </references>
      </pivotArea>
    </chartFormat>
    <chartFormat chart="8" format="41">
      <pivotArea type="data" outline="0" fieldPosition="0">
        <references count="2">
          <reference field="4294967294" count="1" selected="0">
            <x v="0"/>
          </reference>
          <reference field="10" count="1" selected="0">
            <x v="3"/>
          </reference>
        </references>
      </pivotArea>
    </chartFormat>
    <chartFormat chart="8" format="42">
      <pivotArea type="data" outline="0" fieldPosition="0">
        <references count="2">
          <reference field="4294967294" count="1" selected="0">
            <x v="0"/>
          </reference>
          <reference field="10" count="1" selected="0">
            <x v="1"/>
          </reference>
        </references>
      </pivotArea>
    </chartFormat>
    <chartFormat chart="8" format="43">
      <pivotArea type="data" outline="0" fieldPosition="0">
        <references count="2">
          <reference field="4294967294" count="1" selected="0">
            <x v="0"/>
          </reference>
          <reference field="10" count="1" selected="0">
            <x v="0"/>
          </reference>
        </references>
      </pivotArea>
    </chartFormat>
    <chartFormat chart="12" format="44" series="1">
      <pivotArea type="data" outline="0" fieldPosition="0">
        <references count="1">
          <reference field="4294967294" count="1" selected="0">
            <x v="0"/>
          </reference>
        </references>
      </pivotArea>
    </chartFormat>
    <chartFormat chart="12" format="45">
      <pivotArea type="data" outline="0" fieldPosition="0">
        <references count="2">
          <reference field="4294967294" count="1" selected="0">
            <x v="0"/>
          </reference>
          <reference field="10" count="1" selected="0">
            <x v="2"/>
          </reference>
        </references>
      </pivotArea>
    </chartFormat>
    <chartFormat chart="12" format="46">
      <pivotArea type="data" outline="0" fieldPosition="0">
        <references count="2">
          <reference field="4294967294" count="1" selected="0">
            <x v="0"/>
          </reference>
          <reference field="10" count="1" selected="0">
            <x v="3"/>
          </reference>
        </references>
      </pivotArea>
    </chartFormat>
    <chartFormat chart="12" format="47">
      <pivotArea type="data" outline="0" fieldPosition="0">
        <references count="2">
          <reference field="4294967294" count="1" selected="0">
            <x v="0"/>
          </reference>
          <reference field="10" count="1" selected="0">
            <x v="1"/>
          </reference>
        </references>
      </pivotArea>
    </chartFormat>
    <chartFormat chart="12" format="48">
      <pivotArea type="data" outline="0" fieldPosition="0">
        <references count="2">
          <reference field="4294967294" count="1" selected="0">
            <x v="0"/>
          </reference>
          <reference field="10" count="1" selected="0">
            <x v="0"/>
          </reference>
        </references>
      </pivotArea>
    </chartFormat>
    <chartFormat chart="13" format="49" series="1">
      <pivotArea type="data" outline="0" fieldPosition="0">
        <references count="1">
          <reference field="4294967294" count="1" selected="0">
            <x v="0"/>
          </reference>
        </references>
      </pivotArea>
    </chartFormat>
    <chartFormat chart="13" format="50">
      <pivotArea type="data" outline="0" fieldPosition="0">
        <references count="2">
          <reference field="4294967294" count="1" selected="0">
            <x v="0"/>
          </reference>
          <reference field="10" count="1" selected="0">
            <x v="2"/>
          </reference>
        </references>
      </pivotArea>
    </chartFormat>
    <chartFormat chart="13" format="51">
      <pivotArea type="data" outline="0" fieldPosition="0">
        <references count="2">
          <reference field="4294967294" count="1" selected="0">
            <x v="0"/>
          </reference>
          <reference field="10" count="1" selected="0">
            <x v="3"/>
          </reference>
        </references>
      </pivotArea>
    </chartFormat>
    <chartFormat chart="13" format="52">
      <pivotArea type="data" outline="0" fieldPosition="0">
        <references count="2">
          <reference field="4294967294" count="1" selected="0">
            <x v="0"/>
          </reference>
          <reference field="10" count="1" selected="0">
            <x v="1"/>
          </reference>
        </references>
      </pivotArea>
    </chartFormat>
    <chartFormat chart="13" format="53">
      <pivotArea type="data" outline="0" fieldPosition="0">
        <references count="2">
          <reference field="4294967294" count="1" selected="0">
            <x v="0"/>
          </reference>
          <reference field="10" count="1" selected="0">
            <x v="0"/>
          </reference>
        </references>
      </pivotArea>
    </chartFormat>
    <chartFormat chart="14" format="54" series="1">
      <pivotArea type="data" outline="0" fieldPosition="0">
        <references count="1">
          <reference field="4294967294" count="1" selected="0">
            <x v="0"/>
          </reference>
        </references>
      </pivotArea>
    </chartFormat>
    <chartFormat chart="14" format="55">
      <pivotArea type="data" outline="0" fieldPosition="0">
        <references count="2">
          <reference field="4294967294" count="1" selected="0">
            <x v="0"/>
          </reference>
          <reference field="10" count="1" selected="0">
            <x v="2"/>
          </reference>
        </references>
      </pivotArea>
    </chartFormat>
    <chartFormat chart="14" format="56">
      <pivotArea type="data" outline="0" fieldPosition="0">
        <references count="2">
          <reference field="4294967294" count="1" selected="0">
            <x v="0"/>
          </reference>
          <reference field="10" count="1" selected="0">
            <x v="3"/>
          </reference>
        </references>
      </pivotArea>
    </chartFormat>
    <chartFormat chart="14" format="57">
      <pivotArea type="data" outline="0" fieldPosition="0">
        <references count="2">
          <reference field="4294967294" count="1" selected="0">
            <x v="0"/>
          </reference>
          <reference field="10" count="1" selected="0">
            <x v="1"/>
          </reference>
        </references>
      </pivotArea>
    </chartFormat>
    <chartFormat chart="14" format="58">
      <pivotArea type="data" outline="0" fieldPosition="0">
        <references count="2">
          <reference field="4294967294" count="1" selected="0">
            <x v="0"/>
          </reference>
          <reference field="10" count="1" selected="0">
            <x v="0"/>
          </reference>
        </references>
      </pivotArea>
    </chartFormat>
    <chartFormat chart="19" format="64" series="1">
      <pivotArea type="data" outline="0" fieldPosition="0">
        <references count="1">
          <reference field="4294967294" count="1" selected="0">
            <x v="0"/>
          </reference>
        </references>
      </pivotArea>
    </chartFormat>
    <chartFormat chart="19" format="65">
      <pivotArea type="data" outline="0" fieldPosition="0">
        <references count="2">
          <reference field="4294967294" count="1" selected="0">
            <x v="0"/>
          </reference>
          <reference field="10" count="1" selected="0">
            <x v="2"/>
          </reference>
        </references>
      </pivotArea>
    </chartFormat>
    <chartFormat chart="19" format="66">
      <pivotArea type="data" outline="0" fieldPosition="0">
        <references count="2">
          <reference field="4294967294" count="1" selected="0">
            <x v="0"/>
          </reference>
          <reference field="10" count="1" selected="0">
            <x v="3"/>
          </reference>
        </references>
      </pivotArea>
    </chartFormat>
    <chartFormat chart="19" format="67">
      <pivotArea type="data" outline="0" fieldPosition="0">
        <references count="2">
          <reference field="4294967294" count="1" selected="0">
            <x v="0"/>
          </reference>
          <reference field="10" count="1" selected="0">
            <x v="1"/>
          </reference>
        </references>
      </pivotArea>
    </chartFormat>
    <chartFormat chart="19" format="6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2C8840-4EB3-441A-AA45-841167D142C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location ref="A3:B9"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h="1" x="1"/>
        <item h="1" x="2"/>
        <item h="1"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21"/>
  </rowFields>
  <rowItems count="6">
    <i>
      <x v="1"/>
    </i>
    <i>
      <x v="12"/>
    </i>
    <i>
      <x v="9"/>
    </i>
    <i>
      <x v="5"/>
    </i>
    <i>
      <x v="6"/>
    </i>
    <i t="grand">
      <x/>
    </i>
  </rowItems>
  <colItems count="1">
    <i/>
  </colItems>
  <dataFields count="1">
    <dataField name="Sum of Revenue" fld="24" baseField="0" baseItem="0" numFmtId="165"/>
  </dataFields>
  <chartFormats count="3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0"/>
          </reference>
        </references>
      </pivotArea>
    </chartFormat>
    <chartFormat chart="12" format="44" series="1">
      <pivotArea type="data" outline="0" fieldPosition="0">
        <references count="1">
          <reference field="4294967294" count="1" selected="0">
            <x v="0"/>
          </reference>
        </references>
      </pivotArea>
    </chartFormat>
    <chartFormat chart="13" format="49" series="1">
      <pivotArea type="data" outline="0" fieldPosition="0">
        <references count="1">
          <reference field="4294967294" count="1" selected="0">
            <x v="0"/>
          </reference>
        </references>
      </pivotArea>
    </chartFormat>
    <chartFormat chart="14" format="54" series="1">
      <pivotArea type="data" outline="0" fieldPosition="0">
        <references count="1">
          <reference field="4294967294" count="1" selected="0">
            <x v="0"/>
          </reference>
        </references>
      </pivotArea>
    </chartFormat>
    <chartFormat chart="18" format="44" series="1">
      <pivotArea type="data" outline="0" fieldPosition="0">
        <references count="1">
          <reference field="4294967294" count="1" selected="0">
            <x v="0"/>
          </reference>
        </references>
      </pivotArea>
    </chartFormat>
    <chartFormat chart="19" format="49" series="1">
      <pivotArea type="data" outline="0" fieldPosition="0">
        <references count="1">
          <reference field="4294967294" count="1" selected="0">
            <x v="0"/>
          </reference>
        </references>
      </pivotArea>
    </chartFormat>
    <chartFormat chart="20" format="54" series="1">
      <pivotArea type="data" outline="0" fieldPosition="0">
        <references count="1">
          <reference field="4294967294" count="1" selected="0">
            <x v="0"/>
          </reference>
        </references>
      </pivotArea>
    </chartFormat>
    <chartFormat chart="21" format="59" series="1">
      <pivotArea type="data" outline="0" fieldPosition="0">
        <references count="1">
          <reference field="4294967294" count="1" selected="0">
            <x v="0"/>
          </reference>
        </references>
      </pivotArea>
    </chartFormat>
    <chartFormat chart="18" format="49">
      <pivotArea type="data" outline="0" fieldPosition="0">
        <references count="2">
          <reference field="4294967294" count="1" selected="0">
            <x v="0"/>
          </reference>
          <reference field="21" count="1" selected="0">
            <x v="1"/>
          </reference>
        </references>
      </pivotArea>
    </chartFormat>
    <chartFormat chart="18" format="50">
      <pivotArea type="data" outline="0" fieldPosition="0">
        <references count="2">
          <reference field="4294967294" count="1" selected="0">
            <x v="0"/>
          </reference>
          <reference field="21" count="1" selected="0">
            <x v="12"/>
          </reference>
        </references>
      </pivotArea>
    </chartFormat>
    <chartFormat chart="18" format="51">
      <pivotArea type="data" outline="0" fieldPosition="0">
        <references count="2">
          <reference field="4294967294" count="1" selected="0">
            <x v="0"/>
          </reference>
          <reference field="21" count="1" selected="0">
            <x v="9"/>
          </reference>
        </references>
      </pivotArea>
    </chartFormat>
    <chartFormat chart="18" format="52">
      <pivotArea type="data" outline="0" fieldPosition="0">
        <references count="2">
          <reference field="4294967294" count="1" selected="0">
            <x v="0"/>
          </reference>
          <reference field="21" count="1" selected="0">
            <x v="5"/>
          </reference>
        </references>
      </pivotArea>
    </chartFormat>
    <chartFormat chart="18" format="53">
      <pivotArea type="data" outline="0" fieldPosition="0">
        <references count="2">
          <reference field="4294967294" count="1" selected="0">
            <x v="0"/>
          </reference>
          <reference field="21" count="1" selected="0">
            <x v="6"/>
          </reference>
        </references>
      </pivotArea>
    </chartFormat>
    <chartFormat chart="19" format="54">
      <pivotArea type="data" outline="0" fieldPosition="0">
        <references count="2">
          <reference field="4294967294" count="1" selected="0">
            <x v="0"/>
          </reference>
          <reference field="21" count="1" selected="0">
            <x v="1"/>
          </reference>
        </references>
      </pivotArea>
    </chartFormat>
    <chartFormat chart="19" format="55">
      <pivotArea type="data" outline="0" fieldPosition="0">
        <references count="2">
          <reference field="4294967294" count="1" selected="0">
            <x v="0"/>
          </reference>
          <reference field="21" count="1" selected="0">
            <x v="12"/>
          </reference>
        </references>
      </pivotArea>
    </chartFormat>
    <chartFormat chart="19" format="56">
      <pivotArea type="data" outline="0" fieldPosition="0">
        <references count="2">
          <reference field="4294967294" count="1" selected="0">
            <x v="0"/>
          </reference>
          <reference field="21" count="1" selected="0">
            <x v="9"/>
          </reference>
        </references>
      </pivotArea>
    </chartFormat>
    <chartFormat chart="19" format="57">
      <pivotArea type="data" outline="0" fieldPosition="0">
        <references count="2">
          <reference field="4294967294" count="1" selected="0">
            <x v="0"/>
          </reference>
          <reference field="21" count="1" selected="0">
            <x v="5"/>
          </reference>
        </references>
      </pivotArea>
    </chartFormat>
    <chartFormat chart="19" format="58">
      <pivotArea type="data" outline="0" fieldPosition="0">
        <references count="2">
          <reference field="4294967294" count="1" selected="0">
            <x v="0"/>
          </reference>
          <reference field="21" count="1" selected="0">
            <x v="6"/>
          </reference>
        </references>
      </pivotArea>
    </chartFormat>
    <chartFormat chart="20" format="59">
      <pivotArea type="data" outline="0" fieldPosition="0">
        <references count="2">
          <reference field="4294967294" count="1" selected="0">
            <x v="0"/>
          </reference>
          <reference field="21" count="1" selected="0">
            <x v="1"/>
          </reference>
        </references>
      </pivotArea>
    </chartFormat>
    <chartFormat chart="20" format="60">
      <pivotArea type="data" outline="0" fieldPosition="0">
        <references count="2">
          <reference field="4294967294" count="1" selected="0">
            <x v="0"/>
          </reference>
          <reference field="21" count="1" selected="0">
            <x v="12"/>
          </reference>
        </references>
      </pivotArea>
    </chartFormat>
    <chartFormat chart="20" format="61">
      <pivotArea type="data" outline="0" fieldPosition="0">
        <references count="2">
          <reference field="4294967294" count="1" selected="0">
            <x v="0"/>
          </reference>
          <reference field="21" count="1" selected="0">
            <x v="9"/>
          </reference>
        </references>
      </pivotArea>
    </chartFormat>
    <chartFormat chart="20" format="62">
      <pivotArea type="data" outline="0" fieldPosition="0">
        <references count="2">
          <reference field="4294967294" count="1" selected="0">
            <x v="0"/>
          </reference>
          <reference field="21" count="1" selected="0">
            <x v="5"/>
          </reference>
        </references>
      </pivotArea>
    </chartFormat>
    <chartFormat chart="20" format="63">
      <pivotArea type="data" outline="0" fieldPosition="0">
        <references count="2">
          <reference field="4294967294" count="1" selected="0">
            <x v="0"/>
          </reference>
          <reference field="21" count="1" selected="0">
            <x v="6"/>
          </reference>
        </references>
      </pivotArea>
    </chartFormat>
    <chartFormat chart="21" format="64">
      <pivotArea type="data" outline="0" fieldPosition="0">
        <references count="2">
          <reference field="4294967294" count="1" selected="0">
            <x v="0"/>
          </reference>
          <reference field="21" count="1" selected="0">
            <x v="1"/>
          </reference>
        </references>
      </pivotArea>
    </chartFormat>
    <chartFormat chart="21" format="65">
      <pivotArea type="data" outline="0" fieldPosition="0">
        <references count="2">
          <reference field="4294967294" count="1" selected="0">
            <x v="0"/>
          </reference>
          <reference field="21" count="1" selected="0">
            <x v="12"/>
          </reference>
        </references>
      </pivotArea>
    </chartFormat>
    <chartFormat chart="21" format="66">
      <pivotArea type="data" outline="0" fieldPosition="0">
        <references count="2">
          <reference field="4294967294" count="1" selected="0">
            <x v="0"/>
          </reference>
          <reference field="21" count="1" selected="0">
            <x v="9"/>
          </reference>
        </references>
      </pivotArea>
    </chartFormat>
    <chartFormat chart="21" format="67">
      <pivotArea type="data" outline="0" fieldPosition="0">
        <references count="2">
          <reference field="4294967294" count="1" selected="0">
            <x v="0"/>
          </reference>
          <reference field="21" count="1" selected="0">
            <x v="5"/>
          </reference>
        </references>
      </pivotArea>
    </chartFormat>
    <chartFormat chart="21" format="68">
      <pivotArea type="data" outline="0" fieldPosition="0">
        <references count="2">
          <reference field="4294967294" count="1" selected="0">
            <x v="0"/>
          </reference>
          <reference field="21" count="1" selected="0">
            <x v="6"/>
          </reference>
        </references>
      </pivotArea>
    </chartFormat>
    <chartFormat chart="30" format="75" series="1">
      <pivotArea type="data" outline="0" fieldPosition="0">
        <references count="1">
          <reference field="4294967294" count="1" selected="0">
            <x v="0"/>
          </reference>
        </references>
      </pivotArea>
    </chartFormat>
    <chartFormat chart="30" format="76">
      <pivotArea type="data" outline="0" fieldPosition="0">
        <references count="2">
          <reference field="4294967294" count="1" selected="0">
            <x v="0"/>
          </reference>
          <reference field="21" count="1" selected="0">
            <x v="1"/>
          </reference>
        </references>
      </pivotArea>
    </chartFormat>
    <chartFormat chart="30" format="77">
      <pivotArea type="data" outline="0" fieldPosition="0">
        <references count="2">
          <reference field="4294967294" count="1" selected="0">
            <x v="0"/>
          </reference>
          <reference field="21" count="1" selected="0">
            <x v="12"/>
          </reference>
        </references>
      </pivotArea>
    </chartFormat>
    <chartFormat chart="30" format="78">
      <pivotArea type="data" outline="0" fieldPosition="0">
        <references count="2">
          <reference field="4294967294" count="1" selected="0">
            <x v="0"/>
          </reference>
          <reference field="21" count="1" selected="0">
            <x v="9"/>
          </reference>
        </references>
      </pivotArea>
    </chartFormat>
    <chartFormat chart="30" format="79">
      <pivotArea type="data" outline="0" fieldPosition="0">
        <references count="2">
          <reference field="4294967294" count="1" selected="0">
            <x v="0"/>
          </reference>
          <reference field="21" count="1" selected="0">
            <x v="5"/>
          </reference>
        </references>
      </pivotArea>
    </chartFormat>
    <chartFormat chart="30" format="80">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DC0296-6200-4F15-88A3-210DC434CFE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A3:B11"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h="1" x="1"/>
        <item h="1" x="2"/>
        <item h="1"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0"/>
          </reference>
        </references>
      </pivotArea>
    </chartFormat>
    <chartFormat chart="12" format="44" series="1">
      <pivotArea type="data" outline="0" fieldPosition="0">
        <references count="1">
          <reference field="4294967294" count="1" selected="0">
            <x v="0"/>
          </reference>
        </references>
      </pivotArea>
    </chartFormat>
    <chartFormat chart="13" format="49" series="1">
      <pivotArea type="data" outline="0" fieldPosition="0">
        <references count="1">
          <reference field="4294967294" count="1" selected="0">
            <x v="0"/>
          </reference>
        </references>
      </pivotArea>
    </chartFormat>
    <chartFormat chart="14" format="54" series="1">
      <pivotArea type="data" outline="0" fieldPosition="0">
        <references count="1">
          <reference field="4294967294" count="1" selected="0">
            <x v="0"/>
          </reference>
        </references>
      </pivotArea>
    </chartFormat>
    <chartFormat chart="18" format="44" series="1">
      <pivotArea type="data" outline="0" fieldPosition="0">
        <references count="1">
          <reference field="4294967294" count="1" selected="0">
            <x v="0"/>
          </reference>
        </references>
      </pivotArea>
    </chartFormat>
    <chartFormat chart="19" format="49" series="1">
      <pivotArea type="data" outline="0" fieldPosition="0">
        <references count="1">
          <reference field="4294967294" count="1" selected="0">
            <x v="0"/>
          </reference>
        </references>
      </pivotArea>
    </chartFormat>
    <chartFormat chart="20" format="54" series="1">
      <pivotArea type="data" outline="0" fieldPosition="0">
        <references count="1">
          <reference field="4294967294" count="1" selected="0">
            <x v="0"/>
          </reference>
        </references>
      </pivotArea>
    </chartFormat>
    <chartFormat chart="21" format="59"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D11E13D-A293-4E91-81E7-56BD8373A9BD}" sourceName="Product Name">
  <pivotTables>
    <pivotTable tabId="24" name="PivotTable1"/>
    <pivotTable tabId="25" name="PivotTable1"/>
    <pivotTable tabId="23" name="PivotTable1"/>
    <pivotTable tabId="19" name="PivotTable1"/>
    <pivotTable tabId="29" name="PivotTable1"/>
    <pivotTable tabId="21" name="PivotTable1"/>
    <pivotTable tabId="26" name="PivotTable1"/>
    <pivotTable tabId="27" name="PivotTable1"/>
    <pivotTable tabId="30" name="PivotTable1"/>
  </pivotTables>
  <data>
    <tabular pivotCacheId="134889367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C4424C9-8347-4C78-AA26-437110B67AE8}" sourceName="Salesperson">
  <pivotTables>
    <pivotTable tabId="24" name="PivotTable1"/>
    <pivotTable tabId="25" name="PivotTable1"/>
    <pivotTable tabId="23" name="PivotTable1"/>
    <pivotTable tabId="19" name="PivotTable1"/>
    <pivotTable tabId="29" name="PivotTable1"/>
    <pivotTable tabId="21" name="PivotTable1"/>
    <pivotTable tabId="26" name="PivotTable1"/>
    <pivotTable tabId="27" name="PivotTable1"/>
    <pivotTable tabId="30" name="PivotTable1"/>
  </pivotTables>
  <data>
    <tabular pivotCacheId="1348893670">
      <items count="8">
        <i x="1" s="1"/>
        <i x="5" s="1"/>
        <i x="3" s="1"/>
        <i x="6" s="1"/>
        <i x="0" s="1"/>
        <i x="4"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BD08429-3320-421D-AF26-0789C8909878}" cache="Slicer_Product_Name" caption="Product Name" columnCount="4" showCaption="0" style="SlicerStyleOther1 2" rowHeight="234950"/>
  <slicer name="Salesperson" xr10:uid="{09D9172D-3E31-41DF-A2FA-C6DFE1BD414F}" cache="Slicer_Salesperson" caption="Salesperson" columnCount="4" showCaption="0" style="SlicerStyleDark6 18"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www.excelcampus.com/pivot-tables/pivot-tables-wor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8577-9924-41A7-8AF9-C301528C52CC}">
  <dimension ref="A3:B34"/>
  <sheetViews>
    <sheetView showGridLines="0" workbookViewId="0">
      <selection activeCell="L1" sqref="L1:L1048576"/>
    </sheetView>
  </sheetViews>
  <sheetFormatPr defaultRowHeight="14.4" x14ac:dyDescent="0.3"/>
  <cols>
    <col min="1" max="1" width="12.5546875" bestFit="1" customWidth="1"/>
    <col min="2" max="2" width="14.88671875" bestFit="1" customWidth="1"/>
  </cols>
  <sheetData>
    <row r="3" spans="1:2" x14ac:dyDescent="0.3">
      <c r="A3" s="10" t="s">
        <v>168</v>
      </c>
      <c r="B3" t="s">
        <v>182</v>
      </c>
    </row>
    <row r="4" spans="1:2" x14ac:dyDescent="0.3">
      <c r="A4" s="11" t="s">
        <v>43</v>
      </c>
      <c r="B4" s="3">
        <v>67180.5</v>
      </c>
    </row>
    <row r="5" spans="1:2" x14ac:dyDescent="0.3">
      <c r="A5" s="11" t="s">
        <v>59</v>
      </c>
      <c r="B5" s="3">
        <v>50208.35</v>
      </c>
    </row>
    <row r="6" spans="1:2" x14ac:dyDescent="0.3">
      <c r="A6" s="11" t="s">
        <v>116</v>
      </c>
      <c r="B6" s="3">
        <v>50145.330000000009</v>
      </c>
    </row>
    <row r="7" spans="1:2" x14ac:dyDescent="0.3">
      <c r="A7" s="11" t="s">
        <v>93</v>
      </c>
      <c r="B7" s="3">
        <v>43713</v>
      </c>
    </row>
    <row r="8" spans="1:2" x14ac:dyDescent="0.3">
      <c r="A8" s="11" t="s">
        <v>100</v>
      </c>
      <c r="B8" s="3">
        <v>41095.01</v>
      </c>
    </row>
    <row r="9" spans="1:2" x14ac:dyDescent="0.3">
      <c r="A9" s="11" t="s">
        <v>85</v>
      </c>
      <c r="B9" s="3">
        <v>37428</v>
      </c>
    </row>
    <row r="10" spans="1:2" x14ac:dyDescent="0.3">
      <c r="A10" s="11" t="s">
        <v>121</v>
      </c>
      <c r="B10" s="3">
        <v>36839.990000000005</v>
      </c>
    </row>
    <row r="11" spans="1:2" x14ac:dyDescent="0.3">
      <c r="A11" s="11" t="s">
        <v>128</v>
      </c>
      <c r="B11" s="3">
        <v>32530.6</v>
      </c>
    </row>
    <row r="12" spans="1:2" x14ac:dyDescent="0.3">
      <c r="A12" s="11" t="s">
        <v>77</v>
      </c>
      <c r="B12" s="3">
        <v>27005.38</v>
      </c>
    </row>
    <row r="13" spans="1:2" x14ac:dyDescent="0.3">
      <c r="A13" s="11" t="s">
        <v>107</v>
      </c>
      <c r="B13" s="3">
        <v>17204</v>
      </c>
    </row>
    <row r="14" spans="1:2" x14ac:dyDescent="0.3">
      <c r="A14" s="11" t="s">
        <v>69</v>
      </c>
      <c r="B14" s="3">
        <v>16350.5</v>
      </c>
    </row>
    <row r="15" spans="1:2" x14ac:dyDescent="0.3">
      <c r="A15" s="11" t="s">
        <v>29</v>
      </c>
      <c r="B15" s="3">
        <v>15365.5</v>
      </c>
    </row>
    <row r="16" spans="1:2" x14ac:dyDescent="0.3">
      <c r="A16" s="11" t="s">
        <v>169</v>
      </c>
      <c r="B16" s="3">
        <v>435066.16</v>
      </c>
    </row>
    <row r="22" spans="1:2" x14ac:dyDescent="0.3">
      <c r="A22" s="13" t="s">
        <v>6</v>
      </c>
      <c r="B22" s="13" t="s">
        <v>182</v>
      </c>
    </row>
    <row r="23" spans="1:2" x14ac:dyDescent="0.3">
      <c r="A23" s="11" t="s">
        <v>77</v>
      </c>
      <c r="B23" s="3">
        <v>27005.38</v>
      </c>
    </row>
    <row r="24" spans="1:2" x14ac:dyDescent="0.3">
      <c r="A24" s="11" t="s">
        <v>69</v>
      </c>
      <c r="B24" s="3">
        <v>16350.5</v>
      </c>
    </row>
    <row r="25" spans="1:2" x14ac:dyDescent="0.3">
      <c r="A25" s="11" t="s">
        <v>116</v>
      </c>
      <c r="B25" s="3">
        <v>50145.330000000009</v>
      </c>
    </row>
    <row r="26" spans="1:2" x14ac:dyDescent="0.3">
      <c r="A26" s="11" t="s">
        <v>107</v>
      </c>
      <c r="B26" s="3">
        <v>17204</v>
      </c>
    </row>
    <row r="27" spans="1:2" x14ac:dyDescent="0.3">
      <c r="A27" s="11" t="s">
        <v>100</v>
      </c>
      <c r="B27" s="3">
        <v>41095.01</v>
      </c>
    </row>
    <row r="28" spans="1:2" x14ac:dyDescent="0.3">
      <c r="A28" s="11" t="s">
        <v>29</v>
      </c>
      <c r="B28" s="3">
        <v>15365.5</v>
      </c>
    </row>
    <row r="29" spans="1:2" x14ac:dyDescent="0.3">
      <c r="A29" s="11" t="s">
        <v>43</v>
      </c>
      <c r="B29" s="3">
        <v>67180.5</v>
      </c>
    </row>
    <row r="30" spans="1:2" x14ac:dyDescent="0.3">
      <c r="A30" s="11" t="s">
        <v>59</v>
      </c>
      <c r="B30" s="3">
        <v>50208.35</v>
      </c>
    </row>
    <row r="31" spans="1:2" x14ac:dyDescent="0.3">
      <c r="A31" s="11" t="s">
        <v>93</v>
      </c>
      <c r="B31" s="3">
        <v>43713</v>
      </c>
    </row>
    <row r="32" spans="1:2" x14ac:dyDescent="0.3">
      <c r="A32" s="11" t="s">
        <v>128</v>
      </c>
      <c r="B32" s="3">
        <v>32530.6</v>
      </c>
    </row>
    <row r="33" spans="1:2" x14ac:dyDescent="0.3">
      <c r="A33" s="11" t="s">
        <v>121</v>
      </c>
      <c r="B33" s="3">
        <v>36839.990000000005</v>
      </c>
    </row>
    <row r="34" spans="1:2" x14ac:dyDescent="0.3">
      <c r="A34" s="11" t="s">
        <v>85</v>
      </c>
      <c r="B34" s="3">
        <v>37428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153F-0AF8-4DAD-B251-7ADAF74AC9A0}">
  <dimension ref="A3:E10"/>
  <sheetViews>
    <sheetView showGridLines="0" topLeftCell="A5" workbookViewId="0">
      <selection activeCell="E31" sqref="E31"/>
    </sheetView>
  </sheetViews>
  <sheetFormatPr defaultRowHeight="14.4" x14ac:dyDescent="0.3"/>
  <cols>
    <col min="1" max="1" width="12.5546875" bestFit="1" customWidth="1"/>
    <col min="2" max="2" width="14.88671875" bestFit="1" customWidth="1"/>
    <col min="5" max="5" width="14.88671875" bestFit="1" customWidth="1"/>
  </cols>
  <sheetData>
    <row r="3" spans="1:5" x14ac:dyDescent="0.3">
      <c r="A3" s="10" t="s">
        <v>168</v>
      </c>
      <c r="B3" t="s">
        <v>182</v>
      </c>
      <c r="D3" s="13" t="s">
        <v>185</v>
      </c>
      <c r="E3" s="13" t="s">
        <v>182</v>
      </c>
    </row>
    <row r="4" spans="1:5" x14ac:dyDescent="0.3">
      <c r="A4" s="11" t="s">
        <v>42</v>
      </c>
      <c r="B4" s="3">
        <v>67180.5</v>
      </c>
      <c r="D4" s="11" t="s">
        <v>42</v>
      </c>
      <c r="E4" s="3">
        <v>67180.5</v>
      </c>
    </row>
    <row r="5" spans="1:5" x14ac:dyDescent="0.3">
      <c r="A5" s="11" t="s">
        <v>58</v>
      </c>
      <c r="B5" s="3">
        <v>50208.35</v>
      </c>
      <c r="D5" s="11" t="s">
        <v>58</v>
      </c>
      <c r="E5" s="3">
        <v>50208.35</v>
      </c>
    </row>
    <row r="6" spans="1:5" x14ac:dyDescent="0.3">
      <c r="A6" s="11" t="s">
        <v>115</v>
      </c>
      <c r="B6" s="3">
        <v>50145.330000000009</v>
      </c>
      <c r="D6" s="11" t="s">
        <v>115</v>
      </c>
      <c r="E6" s="3">
        <v>50145.33</v>
      </c>
    </row>
    <row r="7" spans="1:5" x14ac:dyDescent="0.3">
      <c r="A7" s="11" t="s">
        <v>92</v>
      </c>
      <c r="B7" s="3">
        <v>43713</v>
      </c>
      <c r="D7" s="11" t="s">
        <v>92</v>
      </c>
      <c r="E7" s="3">
        <v>43713</v>
      </c>
    </row>
    <row r="8" spans="1:5" x14ac:dyDescent="0.3">
      <c r="A8" s="11" t="s">
        <v>99</v>
      </c>
      <c r="B8" s="3">
        <v>41095.01</v>
      </c>
      <c r="D8" s="11" t="s">
        <v>99</v>
      </c>
      <c r="E8" s="3">
        <v>41095.01</v>
      </c>
    </row>
    <row r="9" spans="1:5" x14ac:dyDescent="0.3">
      <c r="A9" s="11" t="s">
        <v>84</v>
      </c>
      <c r="B9" s="3">
        <v>37428</v>
      </c>
      <c r="D9" s="11" t="s">
        <v>84</v>
      </c>
      <c r="E9" s="3">
        <v>37428</v>
      </c>
    </row>
    <row r="10" spans="1:5" x14ac:dyDescent="0.3">
      <c r="A10" s="11" t="s">
        <v>169</v>
      </c>
      <c r="B10" s="3">
        <v>289770.19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workbookViewId="0">
      <selection activeCell="A13" sqref="A13"/>
    </sheetView>
  </sheetViews>
  <sheetFormatPr defaultRowHeight="14.4" x14ac:dyDescent="0.3"/>
  <cols>
    <col min="1" max="1" width="66.44140625" customWidth="1"/>
    <col min="3" max="3" width="9.109375" customWidth="1"/>
  </cols>
  <sheetData>
    <row r="2" spans="1:1" ht="21" x14ac:dyDescent="0.4">
      <c r="A2" s="7" t="s">
        <v>161</v>
      </c>
    </row>
    <row r="3" spans="1:1" ht="68.25" customHeight="1" x14ac:dyDescent="0.3">
      <c r="A3" s="9" t="s">
        <v>162</v>
      </c>
    </row>
    <row r="4" spans="1:1" ht="21" x14ac:dyDescent="0.4">
      <c r="A4" s="8" t="s">
        <v>156</v>
      </c>
    </row>
    <row r="5" spans="1:1" ht="21" x14ac:dyDescent="0.4">
      <c r="A5" s="8" t="s">
        <v>157</v>
      </c>
    </row>
    <row r="6" spans="1:1" ht="21" x14ac:dyDescent="0.4">
      <c r="A6" s="8" t="s">
        <v>158</v>
      </c>
    </row>
    <row r="7" spans="1:1" ht="21" x14ac:dyDescent="0.4">
      <c r="A7" s="8" t="s">
        <v>159</v>
      </c>
    </row>
    <row r="8" spans="1:1" ht="21" x14ac:dyDescent="0.4">
      <c r="A8" s="8" t="s">
        <v>160</v>
      </c>
    </row>
    <row r="9" spans="1:1" ht="21" x14ac:dyDescent="0.4">
      <c r="A9" s="8" t="s">
        <v>164</v>
      </c>
    </row>
    <row r="10" spans="1:1" ht="21" x14ac:dyDescent="0.4">
      <c r="A10" s="8" t="s">
        <v>165</v>
      </c>
    </row>
    <row r="11" spans="1:1" ht="21" x14ac:dyDescent="0.4">
      <c r="A11" s="8" t="s">
        <v>166</v>
      </c>
    </row>
    <row r="12" spans="1:1" ht="21" x14ac:dyDescent="0.4">
      <c r="A12" s="14" t="s">
        <v>184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3873-00A8-49B9-AA71-D5FA28D6AE1B}">
  <dimension ref="A3:B16"/>
  <sheetViews>
    <sheetView workbookViewId="0">
      <selection activeCell="B4" sqref="B4"/>
    </sheetView>
  </sheetViews>
  <sheetFormatPr defaultRowHeight="14.4" x14ac:dyDescent="0.3"/>
  <cols>
    <col min="1" max="1" width="12.5546875" bestFit="1" customWidth="1"/>
    <col min="2" max="2" width="14.88671875" bestFit="1" customWidth="1"/>
  </cols>
  <sheetData>
    <row r="3" spans="1:2" x14ac:dyDescent="0.3">
      <c r="A3" s="10" t="s">
        <v>168</v>
      </c>
      <c r="B3" t="s">
        <v>182</v>
      </c>
    </row>
    <row r="4" spans="1:2" x14ac:dyDescent="0.3">
      <c r="A4" s="11" t="s">
        <v>170</v>
      </c>
      <c r="B4" s="3">
        <v>32907.839999999997</v>
      </c>
    </row>
    <row r="5" spans="1:2" x14ac:dyDescent="0.3">
      <c r="A5" s="11" t="s">
        <v>171</v>
      </c>
      <c r="B5" s="3">
        <v>19985.5</v>
      </c>
    </row>
    <row r="6" spans="1:2" x14ac:dyDescent="0.3">
      <c r="A6" s="11" t="s">
        <v>172</v>
      </c>
      <c r="B6" s="3">
        <v>30852.6</v>
      </c>
    </row>
    <row r="7" spans="1:2" x14ac:dyDescent="0.3">
      <c r="A7" s="11" t="s">
        <v>173</v>
      </c>
      <c r="B7" s="3">
        <v>20771.789999999997</v>
      </c>
    </row>
    <row r="8" spans="1:2" x14ac:dyDescent="0.3">
      <c r="A8" s="11" t="s">
        <v>174</v>
      </c>
      <c r="B8" s="3">
        <v>34307.049999999996</v>
      </c>
    </row>
    <row r="9" spans="1:2" x14ac:dyDescent="0.3">
      <c r="A9" s="11" t="s">
        <v>175</v>
      </c>
      <c r="B9" s="3">
        <v>55601.61</v>
      </c>
    </row>
    <row r="10" spans="1:2" x14ac:dyDescent="0.3">
      <c r="A10" s="11" t="s">
        <v>176</v>
      </c>
      <c r="B10" s="3">
        <v>27318.539999999997</v>
      </c>
    </row>
    <row r="11" spans="1:2" x14ac:dyDescent="0.3">
      <c r="A11" s="11" t="s">
        <v>177</v>
      </c>
      <c r="B11" s="3">
        <v>29921.459999999995</v>
      </c>
    </row>
    <row r="12" spans="1:2" x14ac:dyDescent="0.3">
      <c r="A12" s="11" t="s">
        <v>178</v>
      </c>
      <c r="B12" s="3">
        <v>31949.97</v>
      </c>
    </row>
    <row r="13" spans="1:2" x14ac:dyDescent="0.3">
      <c r="A13" s="11" t="s">
        <v>179</v>
      </c>
      <c r="B13" s="3">
        <v>53033.59</v>
      </c>
    </row>
    <row r="14" spans="1:2" x14ac:dyDescent="0.3">
      <c r="A14" s="11" t="s">
        <v>180</v>
      </c>
      <c r="B14" s="3">
        <v>31773.429999999997</v>
      </c>
    </row>
    <row r="15" spans="1:2" x14ac:dyDescent="0.3">
      <c r="A15" s="11" t="s">
        <v>181</v>
      </c>
      <c r="B15" s="3">
        <v>66642.78</v>
      </c>
    </row>
    <row r="16" spans="1:2" x14ac:dyDescent="0.3">
      <c r="A16" s="11" t="s">
        <v>169</v>
      </c>
      <c r="B16" s="3">
        <v>435066.15999999992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551B-C3B9-4703-93D6-3254BABB7DDB}">
  <dimension ref="A1"/>
  <sheetViews>
    <sheetView showGridLines="0" workbookViewId="0">
      <selection activeCell="F30" sqref="F30"/>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AB67-8FF9-42B1-85C4-8049411A6FE0}">
  <dimension ref="AD21"/>
  <sheetViews>
    <sheetView showGridLines="0" topLeftCell="H1" zoomScale="81" zoomScaleNormal="81" workbookViewId="0">
      <selection activeCell="AD21" sqref="AD21"/>
    </sheetView>
  </sheetViews>
  <sheetFormatPr defaultRowHeight="14.4" x14ac:dyDescent="0.3"/>
  <sheetData>
    <row r="21" spans="30:30" x14ac:dyDescent="0.3">
      <c r="AD21" t="s">
        <v>194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7D987-0A25-41BC-8BDD-906946D75229}">
  <dimension ref="A3:B9"/>
  <sheetViews>
    <sheetView showGridLines="0" workbookViewId="0">
      <selection activeCell="A5" sqref="A5"/>
    </sheetView>
  </sheetViews>
  <sheetFormatPr defaultRowHeight="14.4" x14ac:dyDescent="0.3"/>
  <cols>
    <col min="1" max="1" width="12.5546875" bestFit="1" customWidth="1"/>
    <col min="2" max="2" width="14.88671875" bestFit="1" customWidth="1"/>
  </cols>
  <sheetData>
    <row r="3" spans="1:2" x14ac:dyDescent="0.3">
      <c r="A3" s="10" t="s">
        <v>168</v>
      </c>
      <c r="B3" t="s">
        <v>182</v>
      </c>
    </row>
    <row r="4" spans="1:2" x14ac:dyDescent="0.3">
      <c r="A4" s="11" t="s">
        <v>99</v>
      </c>
      <c r="B4" s="3">
        <v>41095.01</v>
      </c>
    </row>
    <row r="5" spans="1:2" x14ac:dyDescent="0.3">
      <c r="A5" s="11" t="s">
        <v>92</v>
      </c>
      <c r="B5" s="3">
        <v>43713</v>
      </c>
    </row>
    <row r="6" spans="1:2" x14ac:dyDescent="0.3">
      <c r="A6" s="11" t="s">
        <v>115</v>
      </c>
      <c r="B6" s="3">
        <v>50145.330000000009</v>
      </c>
    </row>
    <row r="7" spans="1:2" x14ac:dyDescent="0.3">
      <c r="A7" s="11" t="s">
        <v>42</v>
      </c>
      <c r="B7" s="3">
        <v>67180.5</v>
      </c>
    </row>
    <row r="8" spans="1:2" x14ac:dyDescent="0.3">
      <c r="A8" s="11" t="s">
        <v>58</v>
      </c>
      <c r="B8" s="3">
        <v>50208.35</v>
      </c>
    </row>
    <row r="9" spans="1:2" x14ac:dyDescent="0.3">
      <c r="A9" s="11" t="s">
        <v>169</v>
      </c>
      <c r="B9" s="3">
        <v>252342.19000000003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M1" zoomScale="95" zoomScaleNormal="95" workbookViewId="0">
      <pane ySplit="1" topLeftCell="A46" activePane="bottomLeft" state="frozen"/>
      <selection pane="bottomLeft" activeCell="Q340" sqref="Q340"/>
    </sheetView>
  </sheetViews>
  <sheetFormatPr defaultRowHeight="14.4" x14ac:dyDescent="0.3"/>
  <cols>
    <col min="1" max="1" width="10.5546875" customWidth="1"/>
    <col min="2" max="2" width="10.6640625" bestFit="1" customWidth="1"/>
    <col min="3" max="3" width="14.109375" bestFit="1" customWidth="1"/>
    <col min="4" max="4" width="15.44140625" bestFit="1" customWidth="1"/>
    <col min="5" max="5" width="14.33203125" bestFit="1" customWidth="1"/>
    <col min="6" max="6" width="12.5546875" bestFit="1" customWidth="1"/>
    <col min="7" max="7" width="5.5546875" bestFit="1" customWidth="1"/>
    <col min="8" max="9" width="15.109375" bestFit="1" customWidth="1"/>
    <col min="10" max="10" width="19.6640625" bestFit="1" customWidth="1"/>
    <col min="11" max="11" width="9" bestFit="1" customWidth="1"/>
    <col min="12" max="12" width="12.88671875" bestFit="1" customWidth="1"/>
    <col min="13" max="13" width="19.44140625" bestFit="1" customWidth="1"/>
    <col min="14" max="14" width="21.5546875" bestFit="1" customWidth="1"/>
    <col min="15" max="15" width="14.33203125" bestFit="1" customWidth="1"/>
    <col min="16" max="16" width="12.5546875" bestFit="1" customWidth="1"/>
    <col min="17" max="17" width="9.88671875" bestFit="1" customWidth="1"/>
    <col min="18" max="19" width="19.5546875" bestFit="1" customWidth="1"/>
    <col min="20" max="20" width="13.6640625" bestFit="1" customWidth="1"/>
    <col min="21" max="21" width="21" bestFit="1" customWidth="1"/>
    <col min="22" max="22" width="25" bestFit="1" customWidth="1"/>
    <col min="23" max="23" width="9.6640625" bestFit="1" customWidth="1"/>
    <col min="24" max="24" width="8.6640625" bestFit="1" customWidth="1"/>
    <col min="25" max="25" width="19.5546875" customWidth="1"/>
    <col min="26" max="26" width="12.4414062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4" x14ac:dyDescent="0.3"/>
  <sheetData>
    <row r="19" spans="2:3" x14ac:dyDescent="0.3">
      <c r="B19" s="6" t="s">
        <v>153</v>
      </c>
      <c r="C19" t="s">
        <v>154</v>
      </c>
    </row>
    <row r="20" spans="2:3" x14ac:dyDescent="0.3">
      <c r="B20" s="6" t="s">
        <v>152</v>
      </c>
      <c r="C20" s="5" t="s">
        <v>155</v>
      </c>
    </row>
  </sheetData>
  <hyperlinks>
    <hyperlink ref="C20" r:id="rId1" xr:uid="{00000000-0004-0000-0200-00000000000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B2A2-7D79-404A-BF91-8CEA8A5DBB6B}">
  <dimension ref="I51"/>
  <sheetViews>
    <sheetView showGridLines="0" topLeftCell="N1" zoomScale="51" zoomScaleNormal="51" workbookViewId="0">
      <selection activeCell="AS101" sqref="AS101"/>
    </sheetView>
  </sheetViews>
  <sheetFormatPr defaultRowHeight="14.4" x14ac:dyDescent="0.3"/>
  <sheetData>
    <row r="51" spans="9:9" x14ac:dyDescent="0.3">
      <c r="I51" t="s">
        <v>167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862D-3EFC-443B-A198-4F8F05E25930}">
  <dimension ref="A3:B14"/>
  <sheetViews>
    <sheetView zoomScale="95" zoomScaleNormal="95" workbookViewId="0">
      <selection activeCell="A4" sqref="A4"/>
    </sheetView>
  </sheetViews>
  <sheetFormatPr defaultRowHeight="14.4" x14ac:dyDescent="0.3"/>
  <cols>
    <col min="1" max="1" width="12.77734375" bestFit="1" customWidth="1"/>
    <col min="2" max="2" width="14.88671875" bestFit="1" customWidth="1"/>
  </cols>
  <sheetData>
    <row r="3" spans="1:2" x14ac:dyDescent="0.3">
      <c r="A3" s="10" t="s">
        <v>168</v>
      </c>
      <c r="B3" t="s">
        <v>182</v>
      </c>
    </row>
    <row r="4" spans="1:2" x14ac:dyDescent="0.3">
      <c r="A4" s="11" t="s">
        <v>113</v>
      </c>
      <c r="B4" s="3">
        <v>21937.08</v>
      </c>
    </row>
    <row r="5" spans="1:2" x14ac:dyDescent="0.3">
      <c r="A5" s="11" t="s">
        <v>74</v>
      </c>
      <c r="B5" s="3">
        <v>27005.38</v>
      </c>
    </row>
    <row r="6" spans="1:2" x14ac:dyDescent="0.3">
      <c r="A6" s="11" t="s">
        <v>140</v>
      </c>
      <c r="B6" s="3">
        <v>28208.250000000007</v>
      </c>
    </row>
    <row r="7" spans="1:2" x14ac:dyDescent="0.3">
      <c r="A7" s="11" t="s">
        <v>97</v>
      </c>
      <c r="B7" s="3">
        <v>29133.009999999995</v>
      </c>
    </row>
    <row r="8" spans="1:2" x14ac:dyDescent="0.3">
      <c r="A8" s="11" t="s">
        <v>125</v>
      </c>
      <c r="B8" s="3">
        <v>32530.6</v>
      </c>
    </row>
    <row r="9" spans="1:2" x14ac:dyDescent="0.3">
      <c r="A9" s="11" t="s">
        <v>118</v>
      </c>
      <c r="B9" s="3">
        <v>36839.990000000005</v>
      </c>
    </row>
    <row r="10" spans="1:2" x14ac:dyDescent="0.3">
      <c r="A10" s="11" t="s">
        <v>82</v>
      </c>
      <c r="B10" s="3">
        <v>37428</v>
      </c>
    </row>
    <row r="11" spans="1:2" x14ac:dyDescent="0.3">
      <c r="A11" s="11" t="s">
        <v>90</v>
      </c>
      <c r="B11" s="3">
        <v>43713</v>
      </c>
    </row>
    <row r="12" spans="1:2" x14ac:dyDescent="0.3">
      <c r="A12" s="11" t="s">
        <v>56</v>
      </c>
      <c r="B12" s="3">
        <v>50208.35</v>
      </c>
    </row>
    <row r="13" spans="1:2" x14ac:dyDescent="0.3">
      <c r="A13" s="11" t="s">
        <v>40</v>
      </c>
      <c r="B13" s="3">
        <v>67180.5</v>
      </c>
    </row>
    <row r="14" spans="1:2" x14ac:dyDescent="0.3">
      <c r="A14" s="11" t="s">
        <v>169</v>
      </c>
      <c r="B14" s="3">
        <v>374184.16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E95B-2D0F-4579-AA45-2C0957A8848C}">
  <dimension ref="A3:B12"/>
  <sheetViews>
    <sheetView zoomScale="96" zoomScaleNormal="96" workbookViewId="0">
      <selection activeCell="D2" sqref="D2"/>
    </sheetView>
  </sheetViews>
  <sheetFormatPr defaultRowHeight="14.4" x14ac:dyDescent="0.3"/>
  <cols>
    <col min="1" max="1" width="15.77734375" bestFit="1" customWidth="1"/>
    <col min="2" max="2" width="15.5546875" bestFit="1" customWidth="1"/>
  </cols>
  <sheetData>
    <row r="3" spans="1:2" x14ac:dyDescent="0.3">
      <c r="A3" s="10" t="s">
        <v>168</v>
      </c>
      <c r="B3" t="s">
        <v>182</v>
      </c>
    </row>
    <row r="4" spans="1:2" x14ac:dyDescent="0.3">
      <c r="A4" s="11" t="s">
        <v>70</v>
      </c>
      <c r="B4" s="3">
        <v>16350.5</v>
      </c>
    </row>
    <row r="5" spans="1:2" x14ac:dyDescent="0.3">
      <c r="A5" s="11" t="s">
        <v>129</v>
      </c>
      <c r="B5" s="3">
        <v>32530.6</v>
      </c>
    </row>
    <row r="6" spans="1:2" x14ac:dyDescent="0.3">
      <c r="A6" s="11" t="s">
        <v>86</v>
      </c>
      <c r="B6" s="3">
        <v>37428</v>
      </c>
    </row>
    <row r="7" spans="1:2" x14ac:dyDescent="0.3">
      <c r="A7" s="11" t="s">
        <v>101</v>
      </c>
      <c r="B7" s="3">
        <v>41095.01</v>
      </c>
    </row>
    <row r="8" spans="1:2" x14ac:dyDescent="0.3">
      <c r="A8" s="11" t="s">
        <v>31</v>
      </c>
      <c r="B8" s="3">
        <v>42370.880000000005</v>
      </c>
    </row>
    <row r="9" spans="1:2" x14ac:dyDescent="0.3">
      <c r="A9" s="11" t="s">
        <v>44</v>
      </c>
      <c r="B9" s="3">
        <v>67180.5</v>
      </c>
    </row>
    <row r="10" spans="1:2" x14ac:dyDescent="0.3">
      <c r="A10" s="11" t="s">
        <v>94</v>
      </c>
      <c r="B10" s="3">
        <v>93858.329999999987</v>
      </c>
    </row>
    <row r="11" spans="1:2" x14ac:dyDescent="0.3">
      <c r="A11" s="11" t="s">
        <v>60</v>
      </c>
      <c r="B11" s="3">
        <v>104252.33999999997</v>
      </c>
    </row>
    <row r="12" spans="1:2" x14ac:dyDescent="0.3">
      <c r="A12" s="11" t="s">
        <v>169</v>
      </c>
      <c r="B12" s="3">
        <v>435066.15999999992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1A034-C9F3-4E31-ABF5-2DBE7F66627C}">
  <dimension ref="A3:B8"/>
  <sheetViews>
    <sheetView zoomScale="68" zoomScaleNormal="68" workbookViewId="0">
      <selection activeCell="L1" sqref="L1:L1048576"/>
    </sheetView>
  </sheetViews>
  <sheetFormatPr defaultRowHeight="14.4" x14ac:dyDescent="0.3"/>
  <cols>
    <col min="1" max="1" width="14.33203125" bestFit="1" customWidth="1"/>
    <col min="2" max="2" width="15.77734375" bestFit="1" customWidth="1"/>
  </cols>
  <sheetData>
    <row r="3" spans="1:2" x14ac:dyDescent="0.3">
      <c r="A3" s="10" t="s">
        <v>168</v>
      </c>
      <c r="B3" t="s">
        <v>182</v>
      </c>
    </row>
    <row r="4" spans="1:2" x14ac:dyDescent="0.3">
      <c r="A4" s="11" t="s">
        <v>61</v>
      </c>
      <c r="B4" s="12">
        <v>0.32565240192434181</v>
      </c>
    </row>
    <row r="5" spans="1:2" x14ac:dyDescent="0.3">
      <c r="A5" s="11" t="s">
        <v>45</v>
      </c>
      <c r="B5" s="12">
        <v>0.24887136705828836</v>
      </c>
    </row>
    <row r="6" spans="1:2" x14ac:dyDescent="0.3">
      <c r="A6" s="11" t="s">
        <v>95</v>
      </c>
      <c r="B6" s="12">
        <v>0.21573346453789927</v>
      </c>
    </row>
    <row r="7" spans="1:2" x14ac:dyDescent="0.3">
      <c r="A7" s="11" t="s">
        <v>32</v>
      </c>
      <c r="B7" s="12">
        <v>0.20974276647947063</v>
      </c>
    </row>
    <row r="8" spans="1:2" x14ac:dyDescent="0.3">
      <c r="A8" s="11" t="s">
        <v>169</v>
      </c>
      <c r="B8" s="12">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CE96-0CCB-4168-8DAF-6DE0D38124CD}">
  <dimension ref="A3:H9"/>
  <sheetViews>
    <sheetView zoomScale="78" zoomScaleNormal="78" workbookViewId="0">
      <selection activeCell="K40" sqref="K40"/>
    </sheetView>
  </sheetViews>
  <sheetFormatPr defaultRowHeight="14.4" x14ac:dyDescent="0.3"/>
  <cols>
    <col min="1" max="1" width="15.6640625" bestFit="1" customWidth="1"/>
    <col min="2" max="2" width="14.88671875" bestFit="1" customWidth="1"/>
  </cols>
  <sheetData>
    <row r="3" spans="1:8" x14ac:dyDescent="0.3">
      <c r="A3" s="10" t="s">
        <v>168</v>
      </c>
      <c r="B3" t="s">
        <v>182</v>
      </c>
      <c r="H3" t="s">
        <v>183</v>
      </c>
    </row>
    <row r="4" spans="1:8" x14ac:dyDescent="0.3">
      <c r="A4" s="11" t="s">
        <v>37</v>
      </c>
      <c r="B4" s="3">
        <v>110577.10999999999</v>
      </c>
    </row>
    <row r="5" spans="1:8" x14ac:dyDescent="0.3">
      <c r="A5" s="11" t="s">
        <v>89</v>
      </c>
      <c r="B5" s="3">
        <v>69000</v>
      </c>
    </row>
    <row r="6" spans="1:8" x14ac:dyDescent="0.3">
      <c r="A6" s="11" t="s">
        <v>110</v>
      </c>
      <c r="B6" s="3">
        <v>51541</v>
      </c>
    </row>
    <row r="7" spans="1:8" x14ac:dyDescent="0.3">
      <c r="A7" s="11" t="s">
        <v>134</v>
      </c>
      <c r="B7" s="3">
        <v>33129.600000000006</v>
      </c>
    </row>
    <row r="8" spans="1:8" x14ac:dyDescent="0.3">
      <c r="A8" s="11" t="s">
        <v>39</v>
      </c>
      <c r="B8" s="3">
        <v>27999.5</v>
      </c>
    </row>
    <row r="9" spans="1:8" x14ac:dyDescent="0.3">
      <c r="A9" s="11" t="s">
        <v>169</v>
      </c>
      <c r="B9" s="3">
        <v>292247.20999999996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FF30D-8C15-4D5D-9C60-4B090C763E4B}">
  <dimension ref="A3:B11"/>
  <sheetViews>
    <sheetView zoomScale="78" zoomScaleNormal="78" workbookViewId="0">
      <selection activeCell="F7" sqref="F7"/>
    </sheetView>
  </sheetViews>
  <sheetFormatPr defaultRowHeight="14.4" x14ac:dyDescent="0.3"/>
  <cols>
    <col min="1" max="1" width="13.21875" bestFit="1" customWidth="1"/>
    <col min="2" max="2" width="16.21875" bestFit="1" customWidth="1"/>
  </cols>
  <sheetData>
    <row r="3" spans="1:2" x14ac:dyDescent="0.3">
      <c r="A3" s="10" t="s">
        <v>168</v>
      </c>
      <c r="B3" t="s">
        <v>193</v>
      </c>
    </row>
    <row r="4" spans="1:2" x14ac:dyDescent="0.3">
      <c r="A4" s="15" t="s">
        <v>186</v>
      </c>
      <c r="B4">
        <v>218</v>
      </c>
    </row>
    <row r="5" spans="1:2" x14ac:dyDescent="0.3">
      <c r="A5" s="15" t="s">
        <v>187</v>
      </c>
      <c r="B5">
        <v>85</v>
      </c>
    </row>
    <row r="6" spans="1:2" x14ac:dyDescent="0.3">
      <c r="A6" s="15" t="s">
        <v>188</v>
      </c>
      <c r="B6">
        <v>31</v>
      </c>
    </row>
    <row r="7" spans="1:2" x14ac:dyDescent="0.3">
      <c r="A7" s="15" t="s">
        <v>189</v>
      </c>
      <c r="B7">
        <v>24</v>
      </c>
    </row>
    <row r="8" spans="1:2" x14ac:dyDescent="0.3">
      <c r="A8" s="15" t="s">
        <v>190</v>
      </c>
      <c r="B8">
        <v>8</v>
      </c>
    </row>
    <row r="9" spans="1:2" x14ac:dyDescent="0.3">
      <c r="A9" s="15" t="s">
        <v>191</v>
      </c>
      <c r="B9">
        <v>2</v>
      </c>
    </row>
    <row r="10" spans="1:2" x14ac:dyDescent="0.3">
      <c r="A10" s="15" t="s">
        <v>192</v>
      </c>
      <c r="B10">
        <v>1</v>
      </c>
    </row>
    <row r="11" spans="1:2" x14ac:dyDescent="0.3">
      <c r="A11" s="15" t="s">
        <v>169</v>
      </c>
      <c r="B11">
        <v>369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7914-4FCB-4A5D-AF8D-1A0B5C9842D0}">
  <dimension ref="A25:A95"/>
  <sheetViews>
    <sheetView showGridLines="0" tabSelected="1" zoomScale="63" zoomScaleNormal="63" workbookViewId="0">
      <selection activeCell="AI16" sqref="AI16"/>
    </sheetView>
  </sheetViews>
  <sheetFormatPr defaultRowHeight="14.4" x14ac:dyDescent="0.3"/>
  <sheetData>
    <row r="25" customFormat="1" x14ac:dyDescent="0.3"/>
    <row r="29" ht="15.6" customHeight="1" x14ac:dyDescent="0.3"/>
    <row r="51" ht="18" customHeight="1" x14ac:dyDescent="0.3"/>
    <row r="94" ht="6.6" customHeight="1" x14ac:dyDescent="0.3"/>
    <row r="95"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46EF-EE65-417C-B316-18CEA8C4D862}">
  <dimension ref="A1"/>
  <sheetViews>
    <sheetView showGridLines="0" workbookViewId="0">
      <selection activeCell="L1" sqref="L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STATE PERFORMANCE</vt:lpstr>
      <vt:lpstr>TOP 6 SHIP CITIES BY REVENUE</vt:lpstr>
      <vt:lpstr>Task</vt:lpstr>
      <vt:lpstr>SALES TREND REPORT</vt:lpstr>
      <vt:lpstr>In-Analysis Board</vt:lpstr>
      <vt:lpstr>DASHBOARD SKETCH</vt:lpstr>
      <vt:lpstr>TOP 5 CITIES</vt:lpstr>
      <vt:lpstr>Data (2)</vt:lpstr>
      <vt:lpstr>Pivot Table Diagram</vt:lpstr>
      <vt:lpstr>PRE-ANALYSIS BOARD</vt:lpstr>
      <vt:lpstr>TOP 10 CUSTOMERS</vt:lpstr>
      <vt:lpstr>SALES BY REP</vt:lpstr>
      <vt:lpstr>SALES BY REGION </vt:lpstr>
      <vt:lpstr>SALES BY PRODUCT CATEGORY</vt:lpstr>
      <vt:lpstr>TRANSACTION BY AMOUNT</vt:lpstr>
      <vt:lpstr>DASHBOARD INTERFACE</vt:lpstr>
      <vt:lpstr>Post-Analysis Board</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USER</cp:lastModifiedBy>
  <dcterms:created xsi:type="dcterms:W3CDTF">2015-01-21T18:43:03Z</dcterms:created>
  <dcterms:modified xsi:type="dcterms:W3CDTF">2026-04-07T18:43:51Z</dcterms:modified>
</cp:coreProperties>
</file>